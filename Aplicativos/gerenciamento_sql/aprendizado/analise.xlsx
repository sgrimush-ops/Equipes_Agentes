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divergencias" sheetId="7" r:id="rId1"/>
  </sheets>
  <definedNames>
    <definedName name="_xlnm._FilterDatabase" localSheetId="0" hidden="1">divergencias!$A$2:$T$285</definedName>
  </definedNames>
  <calcPr calcId="125725"/>
</workbook>
</file>

<file path=xl/calcChain.xml><?xml version="1.0" encoding="utf-8"?>
<calcChain xmlns="http://schemas.openxmlformats.org/spreadsheetml/2006/main">
  <c r="R31" i="7"/>
  <c r="T284"/>
  <c r="R284"/>
  <c r="P284"/>
  <c r="N284"/>
  <c r="T283"/>
  <c r="R283"/>
  <c r="P283"/>
  <c r="N283"/>
  <c r="T282"/>
  <c r="R282"/>
  <c r="P282"/>
  <c r="N282"/>
  <c r="T281"/>
  <c r="R281"/>
  <c r="P281"/>
  <c r="N281"/>
  <c r="T280"/>
  <c r="R280"/>
  <c r="P280"/>
  <c r="N280"/>
  <c r="T279"/>
  <c r="R279"/>
  <c r="P279"/>
  <c r="N279"/>
  <c r="T278"/>
  <c r="R278"/>
  <c r="P278"/>
  <c r="N278"/>
  <c r="T277"/>
  <c r="R277"/>
  <c r="P277"/>
  <c r="N277"/>
  <c r="T276"/>
  <c r="R276"/>
  <c r="P276"/>
  <c r="N276"/>
  <c r="T275"/>
  <c r="R275"/>
  <c r="P275"/>
  <c r="N275"/>
  <c r="T274"/>
  <c r="R274"/>
  <c r="P274"/>
  <c r="N274"/>
  <c r="T273"/>
  <c r="R273"/>
  <c r="P273"/>
  <c r="N273"/>
  <c r="T272"/>
  <c r="R272"/>
  <c r="P272"/>
  <c r="N272"/>
  <c r="T271"/>
  <c r="R271"/>
  <c r="P271"/>
  <c r="N271"/>
  <c r="T270"/>
  <c r="R270"/>
  <c r="P270"/>
  <c r="N270"/>
  <c r="T269"/>
  <c r="R269"/>
  <c r="P269"/>
  <c r="N269"/>
  <c r="T268"/>
  <c r="R268"/>
  <c r="P268"/>
  <c r="N268"/>
  <c r="T267"/>
  <c r="R267"/>
  <c r="P267"/>
  <c r="N267"/>
  <c r="T266"/>
  <c r="R266"/>
  <c r="P266"/>
  <c r="N266"/>
  <c r="T265"/>
  <c r="R265"/>
  <c r="P265"/>
  <c r="N265"/>
  <c r="T264"/>
  <c r="R264"/>
  <c r="P264"/>
  <c r="N264"/>
  <c r="T263"/>
  <c r="R263"/>
  <c r="P263"/>
  <c r="N263"/>
  <c r="T262"/>
  <c r="R262"/>
  <c r="P262"/>
  <c r="N262"/>
  <c r="T261"/>
  <c r="R261"/>
  <c r="P261"/>
  <c r="N261"/>
  <c r="T260"/>
  <c r="R260"/>
  <c r="P260"/>
  <c r="N260"/>
  <c r="T259"/>
  <c r="R259"/>
  <c r="P259"/>
  <c r="N259"/>
  <c r="T258"/>
  <c r="R258"/>
  <c r="P258"/>
  <c r="N258"/>
  <c r="T257"/>
  <c r="R257"/>
  <c r="P257"/>
  <c r="N257"/>
  <c r="T256"/>
  <c r="R256"/>
  <c r="P256"/>
  <c r="N256"/>
  <c r="T255"/>
  <c r="R255"/>
  <c r="P255"/>
  <c r="N255"/>
  <c r="T254"/>
  <c r="R254"/>
  <c r="P254"/>
  <c r="N254"/>
  <c r="T253"/>
  <c r="R253"/>
  <c r="P253"/>
  <c r="N253"/>
  <c r="T252"/>
  <c r="R252"/>
  <c r="P252"/>
  <c r="N252"/>
  <c r="T251"/>
  <c r="R251"/>
  <c r="P251"/>
  <c r="N251"/>
  <c r="T250"/>
  <c r="R250"/>
  <c r="P250"/>
  <c r="N250"/>
  <c r="T249"/>
  <c r="R249"/>
  <c r="P249"/>
  <c r="N249"/>
  <c r="T248"/>
  <c r="R248"/>
  <c r="P248"/>
  <c r="N248"/>
  <c r="T247"/>
  <c r="R247"/>
  <c r="P247"/>
  <c r="N247"/>
  <c r="T246"/>
  <c r="R246"/>
  <c r="P246"/>
  <c r="N246"/>
  <c r="T245"/>
  <c r="R245"/>
  <c r="P245"/>
  <c r="N245"/>
  <c r="T244"/>
  <c r="R244"/>
  <c r="P244"/>
  <c r="N244"/>
  <c r="T243"/>
  <c r="R243"/>
  <c r="P243"/>
  <c r="N243"/>
  <c r="T242"/>
  <c r="R242"/>
  <c r="P242"/>
  <c r="N242"/>
  <c r="T241"/>
  <c r="R241"/>
  <c r="P241"/>
  <c r="N241"/>
  <c r="T240"/>
  <c r="R240"/>
  <c r="P240"/>
  <c r="N240"/>
  <c r="T239"/>
  <c r="R239"/>
  <c r="P239"/>
  <c r="N239"/>
  <c r="T238"/>
  <c r="R238"/>
  <c r="P238"/>
  <c r="N238"/>
  <c r="T237"/>
  <c r="R237"/>
  <c r="P237"/>
  <c r="N237"/>
  <c r="T236"/>
  <c r="R236"/>
  <c r="P236"/>
  <c r="N236"/>
  <c r="T235"/>
  <c r="R235"/>
  <c r="P235"/>
  <c r="N235"/>
  <c r="T234"/>
  <c r="R234"/>
  <c r="P234"/>
  <c r="N234"/>
  <c r="T233"/>
  <c r="R233"/>
  <c r="P233"/>
  <c r="N233"/>
  <c r="T232"/>
  <c r="R232"/>
  <c r="P232"/>
  <c r="N232"/>
  <c r="T231"/>
  <c r="R231"/>
  <c r="P231"/>
  <c r="N231"/>
  <c r="T230"/>
  <c r="R230"/>
  <c r="P230"/>
  <c r="N230"/>
  <c r="T229"/>
  <c r="R229"/>
  <c r="P229"/>
  <c r="N229"/>
  <c r="T228"/>
  <c r="R228"/>
  <c r="P228"/>
  <c r="N228"/>
  <c r="T227"/>
  <c r="R227"/>
  <c r="P227"/>
  <c r="N227"/>
  <c r="T226"/>
  <c r="R226"/>
  <c r="P226"/>
  <c r="N226"/>
  <c r="T225"/>
  <c r="R225"/>
  <c r="P225"/>
  <c r="N225"/>
  <c r="T224"/>
  <c r="R224"/>
  <c r="P224"/>
  <c r="N224"/>
  <c r="T223"/>
  <c r="R223"/>
  <c r="P223"/>
  <c r="N223"/>
  <c r="T222"/>
  <c r="R222"/>
  <c r="P222"/>
  <c r="N222"/>
  <c r="T221"/>
  <c r="R221"/>
  <c r="P221"/>
  <c r="N221"/>
  <c r="T220"/>
  <c r="R220"/>
  <c r="P220"/>
  <c r="N220"/>
  <c r="T219"/>
  <c r="R219"/>
  <c r="P219"/>
  <c r="N219"/>
  <c r="T218"/>
  <c r="R218"/>
  <c r="P218"/>
  <c r="N218"/>
  <c r="T217"/>
  <c r="R217"/>
  <c r="P217"/>
  <c r="N217"/>
  <c r="T216"/>
  <c r="R216"/>
  <c r="P216"/>
  <c r="N216"/>
  <c r="T215"/>
  <c r="R215"/>
  <c r="P215"/>
  <c r="N215"/>
  <c r="T214"/>
  <c r="R214"/>
  <c r="P214"/>
  <c r="N214"/>
  <c r="T213"/>
  <c r="R213"/>
  <c r="P213"/>
  <c r="N213"/>
  <c r="T212"/>
  <c r="R212"/>
  <c r="P212"/>
  <c r="N212"/>
  <c r="T211"/>
  <c r="R211"/>
  <c r="P211"/>
  <c r="N211"/>
  <c r="T210"/>
  <c r="R210"/>
  <c r="P210"/>
  <c r="N210"/>
  <c r="T209"/>
  <c r="R209"/>
  <c r="P209"/>
  <c r="N209"/>
  <c r="T208"/>
  <c r="R208"/>
  <c r="P208"/>
  <c r="N208"/>
  <c r="T207"/>
  <c r="R207"/>
  <c r="P207"/>
  <c r="N207"/>
  <c r="T206"/>
  <c r="R206"/>
  <c r="P206"/>
  <c r="N206"/>
  <c r="T205"/>
  <c r="R205"/>
  <c r="P205"/>
  <c r="N205"/>
  <c r="T204"/>
  <c r="R204"/>
  <c r="P204"/>
  <c r="N204"/>
  <c r="T203"/>
  <c r="R203"/>
  <c r="P203"/>
  <c r="N203"/>
  <c r="T202"/>
  <c r="R202"/>
  <c r="P202"/>
  <c r="N202"/>
  <c r="T201"/>
  <c r="R201"/>
  <c r="P201"/>
  <c r="N201"/>
  <c r="T200"/>
  <c r="R200"/>
  <c r="P200"/>
  <c r="N200"/>
  <c r="T199"/>
  <c r="R199"/>
  <c r="P199"/>
  <c r="N199"/>
  <c r="T198"/>
  <c r="R198"/>
  <c r="P198"/>
  <c r="N198"/>
  <c r="T197"/>
  <c r="R197"/>
  <c r="P197"/>
  <c r="N197"/>
  <c r="T196"/>
  <c r="R196"/>
  <c r="P196"/>
  <c r="N196"/>
  <c r="T195"/>
  <c r="R195"/>
  <c r="P195"/>
  <c r="N195"/>
  <c r="T194"/>
  <c r="R194"/>
  <c r="P194"/>
  <c r="N194"/>
  <c r="T193"/>
  <c r="R193"/>
  <c r="P193"/>
  <c r="N193"/>
  <c r="T192"/>
  <c r="R192"/>
  <c r="P192"/>
  <c r="N192"/>
  <c r="T191"/>
  <c r="R191"/>
  <c r="P191"/>
  <c r="N191"/>
  <c r="T190"/>
  <c r="R190"/>
  <c r="P190"/>
  <c r="N190"/>
  <c r="T189"/>
  <c r="R189"/>
  <c r="P189"/>
  <c r="N189"/>
  <c r="T188"/>
  <c r="R188"/>
  <c r="P188"/>
  <c r="N188"/>
  <c r="T187"/>
  <c r="R187"/>
  <c r="P187"/>
  <c r="N187"/>
  <c r="T186"/>
  <c r="R186"/>
  <c r="P186"/>
  <c r="N186"/>
  <c r="T185"/>
  <c r="R185"/>
  <c r="P185"/>
  <c r="N185"/>
  <c r="T184"/>
  <c r="R184"/>
  <c r="P184"/>
  <c r="N184"/>
  <c r="T183"/>
  <c r="R183"/>
  <c r="P183"/>
  <c r="N183"/>
  <c r="T182"/>
  <c r="R182"/>
  <c r="P182"/>
  <c r="N182"/>
  <c r="T181"/>
  <c r="R181"/>
  <c r="P181"/>
  <c r="N181"/>
  <c r="T180"/>
  <c r="R180"/>
  <c r="P180"/>
  <c r="N180"/>
  <c r="T179"/>
  <c r="R179"/>
  <c r="P179"/>
  <c r="N179"/>
  <c r="T178"/>
  <c r="R178"/>
  <c r="P178"/>
  <c r="N178"/>
  <c r="T177"/>
  <c r="R177"/>
  <c r="P177"/>
  <c r="N177"/>
  <c r="T176"/>
  <c r="R176"/>
  <c r="P176"/>
  <c r="N176"/>
  <c r="T175"/>
  <c r="R175"/>
  <c r="P175"/>
  <c r="N175"/>
  <c r="T174"/>
  <c r="R174"/>
  <c r="P174"/>
  <c r="N174"/>
  <c r="T173"/>
  <c r="R173"/>
  <c r="P173"/>
  <c r="N173"/>
  <c r="T172"/>
  <c r="R172"/>
  <c r="P172"/>
  <c r="N172"/>
  <c r="T171"/>
  <c r="R171"/>
  <c r="P171"/>
  <c r="N171"/>
  <c r="T170"/>
  <c r="R170"/>
  <c r="P170"/>
  <c r="N170"/>
  <c r="T169"/>
  <c r="R169"/>
  <c r="P169"/>
  <c r="N169"/>
  <c r="T168"/>
  <c r="R168"/>
  <c r="P168"/>
  <c r="N168"/>
  <c r="T167"/>
  <c r="R167"/>
  <c r="P167"/>
  <c r="N167"/>
  <c r="T166"/>
  <c r="R166"/>
  <c r="P166"/>
  <c r="N166"/>
  <c r="T165"/>
  <c r="R165"/>
  <c r="P165"/>
  <c r="N165"/>
  <c r="T164"/>
  <c r="R164"/>
  <c r="P164"/>
  <c r="N164"/>
  <c r="T163"/>
  <c r="R163"/>
  <c r="P163"/>
  <c r="N163"/>
  <c r="T162"/>
  <c r="R162"/>
  <c r="P162"/>
  <c r="N162"/>
  <c r="T161"/>
  <c r="R161"/>
  <c r="P161"/>
  <c r="N161"/>
  <c r="T160"/>
  <c r="R160"/>
  <c r="P160"/>
  <c r="N160"/>
  <c r="T159"/>
  <c r="R159"/>
  <c r="P159"/>
  <c r="N159"/>
  <c r="T158"/>
  <c r="R158"/>
  <c r="P158"/>
  <c r="N158"/>
  <c r="T157"/>
  <c r="R157"/>
  <c r="P157"/>
  <c r="N157"/>
  <c r="T156"/>
  <c r="R156"/>
  <c r="P156"/>
  <c r="N156"/>
  <c r="T155"/>
  <c r="R155"/>
  <c r="P155"/>
  <c r="N155"/>
  <c r="T154"/>
  <c r="R154"/>
  <c r="P154"/>
  <c r="N154"/>
  <c r="T153"/>
  <c r="R153"/>
  <c r="P153"/>
  <c r="N153"/>
  <c r="T152"/>
  <c r="R152"/>
  <c r="P152"/>
  <c r="N152"/>
  <c r="T151"/>
  <c r="R151"/>
  <c r="P151"/>
  <c r="N151"/>
  <c r="T150"/>
  <c r="R150"/>
  <c r="P150"/>
  <c r="N150"/>
  <c r="T149"/>
  <c r="R149"/>
  <c r="P149"/>
  <c r="N149"/>
  <c r="T148"/>
  <c r="R148"/>
  <c r="P148"/>
  <c r="N148"/>
  <c r="T147"/>
  <c r="R147"/>
  <c r="P147"/>
  <c r="N147"/>
  <c r="T146"/>
  <c r="R146"/>
  <c r="P146"/>
  <c r="N146"/>
  <c r="T145"/>
  <c r="R145"/>
  <c r="P145"/>
  <c r="N145"/>
  <c r="T144"/>
  <c r="R144"/>
  <c r="P144"/>
  <c r="N144"/>
  <c r="T143"/>
  <c r="R143"/>
  <c r="P143"/>
  <c r="N143"/>
  <c r="T142"/>
  <c r="R142"/>
  <c r="P142"/>
  <c r="N142"/>
  <c r="T141"/>
  <c r="R141"/>
  <c r="P141"/>
  <c r="N141"/>
  <c r="T140"/>
  <c r="R140"/>
  <c r="P140"/>
  <c r="N140"/>
  <c r="T139"/>
  <c r="R139"/>
  <c r="P139"/>
  <c r="N139"/>
  <c r="T138"/>
  <c r="R138"/>
  <c r="P138"/>
  <c r="N138"/>
  <c r="T137"/>
  <c r="R137"/>
  <c r="P137"/>
  <c r="N137"/>
  <c r="T136"/>
  <c r="R136"/>
  <c r="P136"/>
  <c r="N136"/>
  <c r="T135"/>
  <c r="R135"/>
  <c r="P135"/>
  <c r="N135"/>
  <c r="T134"/>
  <c r="R134"/>
  <c r="P134"/>
  <c r="N134"/>
  <c r="T133"/>
  <c r="R133"/>
  <c r="P133"/>
  <c r="N133"/>
  <c r="T132"/>
  <c r="R132"/>
  <c r="P132"/>
  <c r="N132"/>
  <c r="T131"/>
  <c r="R131"/>
  <c r="P131"/>
  <c r="N131"/>
  <c r="T130"/>
  <c r="R130"/>
  <c r="P130"/>
  <c r="N130"/>
  <c r="T129"/>
  <c r="R129"/>
  <c r="P129"/>
  <c r="N129"/>
  <c r="T128"/>
  <c r="R128"/>
  <c r="P128"/>
  <c r="N128"/>
  <c r="T127"/>
  <c r="R127"/>
  <c r="P127"/>
  <c r="N127"/>
  <c r="T126"/>
  <c r="R126"/>
  <c r="P126"/>
  <c r="N126"/>
  <c r="T125"/>
  <c r="R125"/>
  <c r="P125"/>
  <c r="N125"/>
  <c r="T124"/>
  <c r="R124"/>
  <c r="P124"/>
  <c r="N124"/>
  <c r="T123"/>
  <c r="R123"/>
  <c r="P123"/>
  <c r="N123"/>
  <c r="T122"/>
  <c r="R122"/>
  <c r="P122"/>
  <c r="N122"/>
  <c r="T121"/>
  <c r="R121"/>
  <c r="P121"/>
  <c r="N121"/>
  <c r="T120"/>
  <c r="R120"/>
  <c r="P120"/>
  <c r="N120"/>
  <c r="T119"/>
  <c r="R119"/>
  <c r="P119"/>
  <c r="N119"/>
  <c r="T118"/>
  <c r="R118"/>
  <c r="P118"/>
  <c r="N118"/>
  <c r="T117"/>
  <c r="R117"/>
  <c r="P117"/>
  <c r="N117"/>
  <c r="T116"/>
  <c r="R116"/>
  <c r="P116"/>
  <c r="N116"/>
  <c r="T115"/>
  <c r="R115"/>
  <c r="P115"/>
  <c r="N115"/>
  <c r="T114"/>
  <c r="R114"/>
  <c r="P114"/>
  <c r="N114"/>
  <c r="T113"/>
  <c r="R113"/>
  <c r="P113"/>
  <c r="N113"/>
  <c r="T112"/>
  <c r="R112"/>
  <c r="P112"/>
  <c r="N112"/>
  <c r="T111"/>
  <c r="R111"/>
  <c r="P111"/>
  <c r="N111"/>
  <c r="T110"/>
  <c r="R110"/>
  <c r="P110"/>
  <c r="N110"/>
  <c r="T109"/>
  <c r="R109"/>
  <c r="P109"/>
  <c r="N109"/>
  <c r="T108"/>
  <c r="R108"/>
  <c r="P108"/>
  <c r="N108"/>
  <c r="T107"/>
  <c r="R107"/>
  <c r="P107"/>
  <c r="N107"/>
  <c r="T106"/>
  <c r="R106"/>
  <c r="P106"/>
  <c r="N106"/>
  <c r="T105"/>
  <c r="R105"/>
  <c r="P105"/>
  <c r="N105"/>
  <c r="T104"/>
  <c r="R104"/>
  <c r="P104"/>
  <c r="N104"/>
  <c r="T103"/>
  <c r="R103"/>
  <c r="P103"/>
  <c r="N103"/>
  <c r="T102"/>
  <c r="R102"/>
  <c r="P102"/>
  <c r="N102"/>
  <c r="T101"/>
  <c r="R101"/>
  <c r="P101"/>
  <c r="N101"/>
  <c r="T100"/>
  <c r="R100"/>
  <c r="P100"/>
  <c r="N100"/>
  <c r="T99"/>
  <c r="R99"/>
  <c r="P99"/>
  <c r="N99"/>
  <c r="T98"/>
  <c r="R98"/>
  <c r="P98"/>
  <c r="N98"/>
  <c r="T97"/>
  <c r="R97"/>
  <c r="P97"/>
  <c r="N97"/>
  <c r="T96"/>
  <c r="R96"/>
  <c r="P96"/>
  <c r="N96"/>
  <c r="T95"/>
  <c r="R95"/>
  <c r="P95"/>
  <c r="N95"/>
  <c r="T94"/>
  <c r="R94"/>
  <c r="P94"/>
  <c r="N94"/>
  <c r="T93"/>
  <c r="R93"/>
  <c r="P93"/>
  <c r="N93"/>
  <c r="T92"/>
  <c r="R92"/>
  <c r="P92"/>
  <c r="N92"/>
  <c r="T91"/>
  <c r="R91"/>
  <c r="P91"/>
  <c r="N91"/>
  <c r="T90"/>
  <c r="R90"/>
  <c r="P90"/>
  <c r="N90"/>
  <c r="T89"/>
  <c r="R89"/>
  <c r="P89"/>
  <c r="N89"/>
  <c r="T88"/>
  <c r="R88"/>
  <c r="P88"/>
  <c r="N88"/>
  <c r="T87"/>
  <c r="R87"/>
  <c r="P87"/>
  <c r="N87"/>
  <c r="T86"/>
  <c r="R86"/>
  <c r="P86"/>
  <c r="N86"/>
  <c r="T85"/>
  <c r="R85"/>
  <c r="P85"/>
  <c r="N85"/>
  <c r="T84"/>
  <c r="R84"/>
  <c r="P84"/>
  <c r="N84"/>
  <c r="T83"/>
  <c r="R83"/>
  <c r="P83"/>
  <c r="N83"/>
  <c r="T82"/>
  <c r="R82"/>
  <c r="P82"/>
  <c r="N82"/>
  <c r="T81"/>
  <c r="R81"/>
  <c r="P81"/>
  <c r="N81"/>
  <c r="T80"/>
  <c r="R80"/>
  <c r="P80"/>
  <c r="N80"/>
  <c r="T79"/>
  <c r="R79"/>
  <c r="P79"/>
  <c r="N79"/>
  <c r="T78"/>
  <c r="R78"/>
  <c r="P78"/>
  <c r="N78"/>
  <c r="T77"/>
  <c r="R77"/>
  <c r="P77"/>
  <c r="N77"/>
  <c r="T76"/>
  <c r="R76"/>
  <c r="P76"/>
  <c r="N76"/>
  <c r="T75"/>
  <c r="R75"/>
  <c r="P75"/>
  <c r="N75"/>
  <c r="T74"/>
  <c r="R74"/>
  <c r="P74"/>
  <c r="N74"/>
  <c r="T73"/>
  <c r="R73"/>
  <c r="P73"/>
  <c r="N73"/>
  <c r="T72"/>
  <c r="R72"/>
  <c r="P72"/>
  <c r="N72"/>
  <c r="T71"/>
  <c r="R71"/>
  <c r="P71"/>
  <c r="N71"/>
  <c r="T70"/>
  <c r="R70"/>
  <c r="P70"/>
  <c r="N70"/>
  <c r="T69"/>
  <c r="R69"/>
  <c r="P69"/>
  <c r="N69"/>
  <c r="T68"/>
  <c r="R68"/>
  <c r="P68"/>
  <c r="N68"/>
  <c r="T67"/>
  <c r="R67"/>
  <c r="P67"/>
  <c r="N67"/>
  <c r="T66"/>
  <c r="R66"/>
  <c r="P66"/>
  <c r="N66"/>
  <c r="T65"/>
  <c r="R65"/>
  <c r="P65"/>
  <c r="N65"/>
  <c r="T64"/>
  <c r="R64"/>
  <c r="P64"/>
  <c r="N64"/>
  <c r="T63"/>
  <c r="R63"/>
  <c r="P63"/>
  <c r="N63"/>
  <c r="T62"/>
  <c r="R62"/>
  <c r="P62"/>
  <c r="N62"/>
  <c r="T61"/>
  <c r="R61"/>
  <c r="P61"/>
  <c r="N61"/>
  <c r="T60"/>
  <c r="R60"/>
  <c r="P60"/>
  <c r="N60"/>
  <c r="T59"/>
  <c r="R59"/>
  <c r="P59"/>
  <c r="N59"/>
  <c r="T58"/>
  <c r="R58"/>
  <c r="P58"/>
  <c r="N58"/>
  <c r="T57"/>
  <c r="R57"/>
  <c r="P57"/>
  <c r="N57"/>
  <c r="T56"/>
  <c r="R56"/>
  <c r="P56"/>
  <c r="N56"/>
  <c r="T55"/>
  <c r="R55"/>
  <c r="P55"/>
  <c r="N55"/>
  <c r="T54"/>
  <c r="R54"/>
  <c r="P54"/>
  <c r="N54"/>
  <c r="T53"/>
  <c r="R53"/>
  <c r="P53"/>
  <c r="N53"/>
  <c r="T52"/>
  <c r="R52"/>
  <c r="P52"/>
  <c r="N52"/>
  <c r="T51"/>
  <c r="R51"/>
  <c r="P51"/>
  <c r="N51"/>
  <c r="T50"/>
  <c r="R50"/>
  <c r="P50"/>
  <c r="N50"/>
  <c r="T49"/>
  <c r="R49"/>
  <c r="P49"/>
  <c r="N49"/>
  <c r="T48"/>
  <c r="R48"/>
  <c r="P48"/>
  <c r="N48"/>
  <c r="T47"/>
  <c r="R47"/>
  <c r="P47"/>
  <c r="N47"/>
  <c r="T46"/>
  <c r="R46"/>
  <c r="P46"/>
  <c r="N46"/>
  <c r="T45"/>
  <c r="R45"/>
  <c r="P45"/>
  <c r="N45"/>
  <c r="T44"/>
  <c r="R44"/>
  <c r="P44"/>
  <c r="N44"/>
  <c r="T43"/>
  <c r="R43"/>
  <c r="P43"/>
  <c r="N43"/>
  <c r="T42"/>
  <c r="R42"/>
  <c r="P42"/>
  <c r="N42"/>
  <c r="T41"/>
  <c r="R41"/>
  <c r="P41"/>
  <c r="N41"/>
  <c r="T40"/>
  <c r="R40"/>
  <c r="P40"/>
  <c r="N40"/>
  <c r="T39"/>
  <c r="R39"/>
  <c r="P39"/>
  <c r="N39"/>
  <c r="T38"/>
  <c r="R38"/>
  <c r="P38"/>
  <c r="N38"/>
  <c r="T37"/>
  <c r="R37"/>
  <c r="P37"/>
  <c r="N37"/>
  <c r="T36"/>
  <c r="R36"/>
  <c r="P36"/>
  <c r="N36"/>
  <c r="T35"/>
  <c r="R35"/>
  <c r="P35"/>
  <c r="N35"/>
  <c r="T34"/>
  <c r="R34"/>
  <c r="P34"/>
  <c r="N34"/>
  <c r="T33"/>
  <c r="R33"/>
  <c r="P33"/>
  <c r="N33"/>
  <c r="T32"/>
  <c r="R32"/>
  <c r="P32"/>
  <c r="N32"/>
  <c r="T31"/>
  <c r="P31"/>
  <c r="N31"/>
  <c r="T30"/>
  <c r="R30"/>
  <c r="P30"/>
  <c r="N30"/>
  <c r="T29"/>
  <c r="R29"/>
  <c r="P29"/>
  <c r="N29"/>
  <c r="T28"/>
  <c r="R28"/>
  <c r="P28"/>
  <c r="N28"/>
  <c r="T27"/>
  <c r="R27"/>
  <c r="P27"/>
  <c r="N27"/>
  <c r="T26"/>
  <c r="R26"/>
  <c r="P26"/>
  <c r="N26"/>
  <c r="T25"/>
  <c r="R25"/>
  <c r="P25"/>
  <c r="N25"/>
  <c r="T24"/>
  <c r="R24"/>
  <c r="P24"/>
  <c r="N24"/>
  <c r="T23"/>
  <c r="R23"/>
  <c r="P23"/>
  <c r="N23"/>
  <c r="T22"/>
  <c r="R22"/>
  <c r="P22"/>
  <c r="N22"/>
  <c r="T21"/>
  <c r="R21"/>
  <c r="P21"/>
  <c r="N21"/>
  <c r="T20"/>
  <c r="R20"/>
  <c r="P20"/>
  <c r="N20"/>
  <c r="T19"/>
  <c r="R19"/>
  <c r="P19"/>
  <c r="N19"/>
  <c r="T18"/>
  <c r="R18"/>
  <c r="P18"/>
  <c r="N18"/>
  <c r="T17"/>
  <c r="R17"/>
  <c r="P17"/>
  <c r="N17"/>
  <c r="T16"/>
  <c r="R16"/>
  <c r="P16"/>
  <c r="N16"/>
  <c r="T15"/>
  <c r="R15"/>
  <c r="P15"/>
  <c r="N15"/>
  <c r="T14"/>
  <c r="R14"/>
  <c r="P14"/>
  <c r="N14"/>
  <c r="T13"/>
  <c r="R13"/>
  <c r="P13"/>
  <c r="N13"/>
  <c r="T12"/>
  <c r="R12"/>
  <c r="P12"/>
  <c r="N12"/>
  <c r="T11"/>
  <c r="R11"/>
  <c r="P11"/>
  <c r="N11"/>
  <c r="T10"/>
  <c r="R10"/>
  <c r="P10"/>
  <c r="N10"/>
  <c r="T9"/>
  <c r="R9"/>
  <c r="P9"/>
  <c r="N9"/>
  <c r="T8"/>
  <c r="R8"/>
  <c r="P8"/>
  <c r="N8"/>
  <c r="T7"/>
  <c r="R7"/>
  <c r="P7"/>
  <c r="N7"/>
  <c r="T6"/>
  <c r="R6"/>
  <c r="P6"/>
  <c r="N6"/>
  <c r="T5"/>
  <c r="R5"/>
  <c r="P5"/>
  <c r="N5"/>
  <c r="T4"/>
  <c r="R4"/>
  <c r="P4"/>
  <c r="N4"/>
  <c r="T285"/>
  <c r="R3"/>
  <c r="P3"/>
  <c r="N3"/>
  <c r="T3" l="1"/>
  <c r="R285"/>
  <c r="P285"/>
  <c r="N285"/>
</calcChain>
</file>

<file path=xl/sharedStrings.xml><?xml version="1.0" encoding="utf-8"?>
<sst xmlns="http://schemas.openxmlformats.org/spreadsheetml/2006/main" count="305" uniqueCount="294">
  <si>
    <t>VLR_COMPRA</t>
  </si>
  <si>
    <t>VLR_DEVOLUCAO_COMPRA</t>
  </si>
  <si>
    <t>VLR_TROCA_COMPRA</t>
  </si>
  <si>
    <t>VLR_BONIFICADO</t>
  </si>
  <si>
    <t>JBS S A</t>
  </si>
  <si>
    <t>BAKLIZI VAREJO E ATACADO E HORTI LTDA</t>
  </si>
  <si>
    <t>BRF S.A</t>
  </si>
  <si>
    <t>SPAL IND BRAS BEBIDAS AS</t>
  </si>
  <si>
    <t>ANGELA PETRY HERTER</t>
  </si>
  <si>
    <t>LATICINIOS CENCI LTDA</t>
  </si>
  <si>
    <t>COOP SANTA CLARA LTDA IND DE LATICINIOS</t>
  </si>
  <si>
    <t>MARQUESPAN ALIMENTOS LTDA</t>
  </si>
  <si>
    <t>CRBS AS CDD PELOTAS</t>
  </si>
  <si>
    <t>LATICINIOS TIROL LTDA.</t>
  </si>
  <si>
    <t>LACTALIS BRASIL COM IMP EXP LTDA</t>
  </si>
  <si>
    <t>UNIDASUL DISTRIBUIDORA ALIMENTICIA S/A</t>
  </si>
  <si>
    <t>CARLOS CANCIAN E CIA LTDA</t>
  </si>
  <si>
    <t>NESTLE BRASIL LTDA</t>
  </si>
  <si>
    <t>SEARA ALIMENTOS LTDA</t>
  </si>
  <si>
    <t>BUNGE ALIMENTOS S/A</t>
  </si>
  <si>
    <t>CAFE TRES CORACOES S.A</t>
  </si>
  <si>
    <t>GASPARIN CEREAIS LTDA ME</t>
  </si>
  <si>
    <t>JBS AVES LTDA</t>
  </si>
  <si>
    <t>COOPERATIVA CENTRAL AURORA ALIMENTOS</t>
  </si>
  <si>
    <t>LUIZ EDUARDO DE SOUZA DOS SANTOS</t>
  </si>
  <si>
    <t>GERMANI ALIMENTOS LTDA</t>
  </si>
  <si>
    <t>EVERTON RICARDO BIEHL SOTT &amp; CIA LTDA.</t>
  </si>
  <si>
    <t>TOZZO ALIMENTOS LTDA</t>
  </si>
  <si>
    <t>PEPSICO DO BRASIL LTDA</t>
  </si>
  <si>
    <t>FRIGORIFICO CHESINI LTDA</t>
  </si>
  <si>
    <t>PODAL IND E COM DE ALIMENTOS LTDA</t>
  </si>
  <si>
    <t>BARA IMPORTACAO E EXPORTACAO LTDA</t>
  </si>
  <si>
    <t>BASTON DO BRASIL PRODUTOS QUIMICO LTDA</t>
  </si>
  <si>
    <t>COAMO AGROINDUSTRIAL COOPERATIVA</t>
  </si>
  <si>
    <t>C R DOS SANTOS - INDUSTRIAL</t>
  </si>
  <si>
    <t>FRIGORIFICO BRS LTDA</t>
  </si>
  <si>
    <t>COOP AGROINDUSTRIAL LAR</t>
  </si>
  <si>
    <t>ADM DO BRASIL LTDA</t>
  </si>
  <si>
    <t>ZAFFALON E CIA LTDA</t>
  </si>
  <si>
    <t>PONCHE VERDE INDL. DO MATE LTDA.</t>
  </si>
  <si>
    <t>BEBIDAS FRUKI LTDA</t>
  </si>
  <si>
    <t>GRANJA AVICOLA BOM FRANGO LTDA</t>
  </si>
  <si>
    <t>ONIZ DISTRIBUID LTDA SCJ</t>
  </si>
  <si>
    <t>JULIANO ALVES PAVANATTO</t>
  </si>
  <si>
    <t>EXCELSIOR ALIMENTOS S.A</t>
  </si>
  <si>
    <t>FUGINI ALIMENTOS LTDA</t>
  </si>
  <si>
    <t>AGUAS MINERAIS SARANDI LTDA</t>
  </si>
  <si>
    <t>ROBERTO CORADINI E CIA LTDA</t>
  </si>
  <si>
    <t>COOPERATIVA SANTA CLARA LTDA</t>
  </si>
  <si>
    <t>PILECCO E CIA. LTDA</t>
  </si>
  <si>
    <t>MELITTA DO BRASIL E COMERCIO LTDA.</t>
  </si>
  <si>
    <t>D.S.A.INDUSTRIA E COMERCIO LTDA</t>
  </si>
  <si>
    <t>TOPFLEX DISTRIBUIDOR DE ALIMENTOS</t>
  </si>
  <si>
    <t>IND COM PROD LIMP GIRANDO SOL LTDA</t>
  </si>
  <si>
    <t>CARGNELUTTI COM DE GAS LTDA</t>
  </si>
  <si>
    <t>LATICINIOS BELA VISTA LTDA</t>
  </si>
  <si>
    <t>MAIS FRANGO MIRAGUAI LTDA</t>
  </si>
  <si>
    <t>ESTRELA INDUSTRIA DE PAPEL LTDA</t>
  </si>
  <si>
    <t>COOP AGRICOLA MISTA NOVA PALMA LTDA</t>
  </si>
  <si>
    <t>FABIANO ZAFFALON E CIA LTDA</t>
  </si>
  <si>
    <t>SPECIATTA CONGELADOS LTDA</t>
  </si>
  <si>
    <t>LATICINIOS CAROLINA LTDA</t>
  </si>
  <si>
    <t>PAMPLONA ALIMENTOS</t>
  </si>
  <si>
    <t>JBS S/A</t>
  </si>
  <si>
    <t>M DIAS BRANCO S.A IND E COM DE ALIMENTOS</t>
  </si>
  <si>
    <t>EXCELSIOR ALIMENTOS S.A.</t>
  </si>
  <si>
    <t>APTI ALIMENTOS LTDA</t>
  </si>
  <si>
    <t>NOP IND E COM DE ALIMENTOS LTDA EPP</t>
  </si>
  <si>
    <t>ATACADAO S.A.</t>
  </si>
  <si>
    <t>ESTANCIA DA FIGUEIRA COM HORTIFRUTI LTDA</t>
  </si>
  <si>
    <t>LATICINIOS BIO LTDA</t>
  </si>
  <si>
    <t>DOCE MINEIRO LTDA</t>
  </si>
  <si>
    <t>NUTRISUL ALIMENTOS LTDA</t>
  </si>
  <si>
    <t>NILO TOZZO DISTRIBUIDORA LTDA</t>
  </si>
  <si>
    <t>DIST DE ALIM BRISTOT LTDA</t>
  </si>
  <si>
    <t>ANTUNES DISTRIBUIDORA DE GAS LTDA</t>
  </si>
  <si>
    <t>MILI S/A</t>
  </si>
  <si>
    <t>SEPAC-SERRADOS E PASTA DE CELULOSE LTDA.</t>
  </si>
  <si>
    <t>INGA IMPORT LTDA SC</t>
  </si>
  <si>
    <t>ITALIANY ALIMENTOS LTDA.</t>
  </si>
  <si>
    <t>DISPAL DIST.DE PRODUTOS ALIM.LAMANA</t>
  </si>
  <si>
    <t>CARGIL AGRICOLA S A GOIANI</t>
  </si>
  <si>
    <t>COMERCIO DE CARVAO WESCHENFELDER LTDA</t>
  </si>
  <si>
    <t>EDIVALDO IUNG PORTEL</t>
  </si>
  <si>
    <t>ARBAZA ALIMENTOS LTDA</t>
  </si>
  <si>
    <t>SOUZA CRUZ SA</t>
  </si>
  <si>
    <t>SOBEL INDUSTRIA E COMERCIO DE PRODUTOS DE LIMPEZA LTDA</t>
  </si>
  <si>
    <t>VONPAR ALIMENTOS S.A</t>
  </si>
  <si>
    <t>CATAVENTO DISTRIBUIDORA DE LIVROS LTDA</t>
  </si>
  <si>
    <t>FERRUCCI E MIRANDA LTDA-EPP</t>
  </si>
  <si>
    <t>BARAO - INDUSTRIA E COMERCIO DE ERVA MATE E CHAS S.A.</t>
  </si>
  <si>
    <t>IND E COMERCIO DE MASSA ROMENA LTDA</t>
  </si>
  <si>
    <t>QUIMICA AMPARO LTDA.</t>
  </si>
  <si>
    <t>CEREAIS RUVIARO LTDA</t>
  </si>
  <si>
    <t>BERTOLINI INDUSTRIA QUIMICA LTDA</t>
  </si>
  <si>
    <t>ERVATEIRA REI VERDE LTDA</t>
  </si>
  <si>
    <t>ASTORIA PAPEIS LTDA FILIAL</t>
  </si>
  <si>
    <t>CEREALISTA STRECK LTDA</t>
  </si>
  <si>
    <t>CIA ANDINA INDUSTRIA DE BEBIDAS LTDA</t>
  </si>
  <si>
    <t>ALTAMIR MATEOS BRAIDO E CIA LTDA.</t>
  </si>
  <si>
    <t>AQUAFAST PROD LIMPEZA/HIGIENE LTDA</t>
  </si>
  <si>
    <t>ENOVA FOODS AS</t>
  </si>
  <si>
    <t>IND E COM DE ALIMENTOS FUCHINA LTDA</t>
  </si>
  <si>
    <t>ODERICH ALIMENTOS LTDA</t>
  </si>
  <si>
    <t>KASADOCE DISTRIBUIDORA DE ALIMENTOS LTDA</t>
  </si>
  <si>
    <t>ANTONIAZZI &amp; CIA LTDA</t>
  </si>
  <si>
    <t>MOINHOS GALOPOLIS S/A</t>
  </si>
  <si>
    <t>GOIASMINAS INDUSTRIA DE LATICINIOS LTDA</t>
  </si>
  <si>
    <t>BIGNARDI IND COM PAP ARTEF LTDA</t>
  </si>
  <si>
    <t>ORTAGGI DISTRIB DE ALIMENTOS LTDA</t>
  </si>
  <si>
    <t>DALI PET DIST ALIM E ACESS PEQ ANIM LTDA</t>
  </si>
  <si>
    <t>MAKENA MAQ. EQUIP. E LUBRIF LTDA</t>
  </si>
  <si>
    <t>PARATI IND.COM.DE ALIMENTOS LTDA</t>
  </si>
  <si>
    <t>BRASMART INDUSTRIA DO VESTUARIO LTDA</t>
  </si>
  <si>
    <t>CONSERVAS ODERICH SA</t>
  </si>
  <si>
    <t>PANARIUS DISTRIB LTDA</t>
  </si>
  <si>
    <t>INDUSTRIA E COMERCIO DE MASSAS DITALIA</t>
  </si>
  <si>
    <t>ESSENCIAL PRODUTOS DE LIMPEZA LTDA</t>
  </si>
  <si>
    <t>ROCHA E FILHOS LTDA</t>
  </si>
  <si>
    <t>PLASUTIL IND.COM.DE PLASTICOS LTDA</t>
  </si>
  <si>
    <t>SANDERO-FAB. VELAS SAO JUDAS TADEU LTDA</t>
  </si>
  <si>
    <t>ERVATEIRA SEIVA PURA LTDA</t>
  </si>
  <si>
    <t>MAURICE MARTINS SORIA</t>
  </si>
  <si>
    <t>COOPERATIVA AGROINDUSTRIAL ALEGRETE LTDA</t>
  </si>
  <si>
    <t>BIGUA ALIMENTOS IND E COMLTDA</t>
  </si>
  <si>
    <t>REDOL ALIMENTOS LTDA</t>
  </si>
  <si>
    <t>INDUSTRIA E COMERCIO DE CEREAIS BOM DE GOSTO LTDA</t>
  </si>
  <si>
    <t>INDUSTRIA E COMERCIO DE LATICINIOS PEREIRA LTDA</t>
  </si>
  <si>
    <t>FRUTICOLA VALINHOS LTDA</t>
  </si>
  <si>
    <t>ORCA DISTRIBUIDORA E TRANSPORTES LTDA.</t>
  </si>
  <si>
    <t>CHA PRENDA DO BRASIL IND E COM EIRELI</t>
  </si>
  <si>
    <t>MORESCO &amp; ANTUNES LTDA</t>
  </si>
  <si>
    <t>FLORAPACK IND</t>
  </si>
  <si>
    <t>PIETROBON E CIA. LTDA</t>
  </si>
  <si>
    <t>SUPERMERCADO BAKLIZI LTDA</t>
  </si>
  <si>
    <t>GRANJA AVICOLA PETRY LTDA</t>
  </si>
  <si>
    <t>CURIFEST COMERCIO ARTIGOS DE FESTA</t>
  </si>
  <si>
    <t>PIRAHY ALIMENTOS LTDA</t>
  </si>
  <si>
    <t>FOSFOREIRA BRASILEIRA S E A</t>
  </si>
  <si>
    <t>CENTRAL DISTR OFERTAO DE ALIM LTDA</t>
  </si>
  <si>
    <t>JKW COMERCIO E TRANSPORTE LTDA</t>
  </si>
  <si>
    <t>COOP VINICOLA GARIBALDI LTDA</t>
  </si>
  <si>
    <t>MARFRIG GLOBAL FOODS</t>
  </si>
  <si>
    <t>S.A.FOSFOROS GABOARDI</t>
  </si>
  <si>
    <t>FONTANA S.A</t>
  </si>
  <si>
    <t>UNIAGRO -IND.E COM.DE PROD.ALIM.LTDA</t>
  </si>
  <si>
    <t>COMPANHIA PARANAENSE DO MATTE LTDA</t>
  </si>
  <si>
    <t>INDUSTRIAS ANHEMBI LTDA.</t>
  </si>
  <si>
    <t>ESDEL COMERCIO DE PRODUTOS ALIMENT LTDA</t>
  </si>
  <si>
    <t>ADMOFASSINA ME</t>
  </si>
  <si>
    <t>HIGIE-PLUS INDUSTRIA E COM.LTDA</t>
  </si>
  <si>
    <t>ELGIN DISTRIBUIDORA LTDA</t>
  </si>
  <si>
    <t>PANDURATA ALIMENTOS LTDA</t>
  </si>
  <si>
    <t>SEMALO IND E COMERCIO ALIMENTOS LTDA</t>
  </si>
  <si>
    <t>SUPERAUTO PRODUTOS AUTOMOTIVOS LTDA</t>
  </si>
  <si>
    <t>ALIBA IMPORT LTDA</t>
  </si>
  <si>
    <t>DELCIO LIMA GAVIAO</t>
  </si>
  <si>
    <t>JAIR B.HENICKA</t>
  </si>
  <si>
    <t>FANTE INDUSTRIA DE BEBIDAS LTDA</t>
  </si>
  <si>
    <t>MARFRIG ALIMENTOS S/A</t>
  </si>
  <si>
    <t>NATURAPEL IND DE PAPEIS LTDA</t>
  </si>
  <si>
    <t>INDUSTRIA MISSIATO DE BEBIDAS LTDA</t>
  </si>
  <si>
    <t>MOINHO DO NORDESTE SA</t>
  </si>
  <si>
    <t>COMERCIAL DE ALIMENTOS BOTUCARAI LTDA</t>
  </si>
  <si>
    <t>EVER GREEN IND.COM.LTDA</t>
  </si>
  <si>
    <t>ENGARRAFADORA BRAMBILA LTDA</t>
  </si>
  <si>
    <t>NAT CEREAIS E ALIMENTOS LTDA</t>
  </si>
  <si>
    <t>TRIVIALY ALIMENTOS</t>
  </si>
  <si>
    <t>DISTRIBUIDORA MEMPHIS</t>
  </si>
  <si>
    <t>XUCALELE ROUPAS PET LTDA</t>
  </si>
  <si>
    <t>IRMAOS RUIVO LTDA</t>
  </si>
  <si>
    <t>PANIFICIO MALLET LTDA.</t>
  </si>
  <si>
    <t>CIMED REMEDIOS S.A</t>
  </si>
  <si>
    <t>ZAM E BOM - IND E COM DE PROD ALIM LTDA</t>
  </si>
  <si>
    <t>PONTELAND DISTRIBUICAO LTDA</t>
  </si>
  <si>
    <t>COM DE LARANJAS VALE DO CAI LTDA</t>
  </si>
  <si>
    <t>COM PROD AGRICOLAS PITANGUEIRA LTDA</t>
  </si>
  <si>
    <t>SILVESTRIN - COM IMP EXP FRUTAS LTDA</t>
  </si>
  <si>
    <t>IRMAOS FOLLE LTDA</t>
  </si>
  <si>
    <t>COOPERATIVA AGROINDUSTRIAL LAR</t>
  </si>
  <si>
    <t>DANONE LTDA</t>
  </si>
  <si>
    <t>HUBERTY REPR LTDA</t>
  </si>
  <si>
    <t>WAC IMPORTACAO E EXPORTACAO LTDA</t>
  </si>
  <si>
    <t>CDC INDUSTRIA DE COSMETICOS LTDA</t>
  </si>
  <si>
    <t>LACTICINIOS TIROL LTDA</t>
  </si>
  <si>
    <t>ALEXANDRE CAVALHEIRO SOARES</t>
  </si>
  <si>
    <t>ERVATEIRA TOMELERO LTDA</t>
  </si>
  <si>
    <t>ABRAHAM INDUSTRIA DE ESPECIARIAS LTDA</t>
  </si>
  <si>
    <t>MACKERDUZ IND DE PROD DE LIMPEZA LTDA</t>
  </si>
  <si>
    <t>HOPPEN HOPPEN E CIA LTDA</t>
  </si>
  <si>
    <t>JBS S E A</t>
  </si>
  <si>
    <t>MANUFATURA PRODUTOS KING LTDA</t>
  </si>
  <si>
    <t>ALIMENTOS ESTRELA LTDA</t>
  </si>
  <si>
    <t>TONDO S/A</t>
  </si>
  <si>
    <t>LEOSUL COMERCIO DE ALIMENTOS LTDA</t>
  </si>
  <si>
    <t>INDUSTRIA DE ALIMENTOS PETRY LTDA</t>
  </si>
  <si>
    <t>DISBAL RS DISTRIBUIDORA BALESTRIN LTDA</t>
  </si>
  <si>
    <t>LIMPAMANIA INDUSTRIAL EIRELI - EPP</t>
  </si>
  <si>
    <t>CILASI ALIMENTOS S E A.</t>
  </si>
  <si>
    <t>COSUEL-COOP. SUINOCULTORES DE ENCANTADO</t>
  </si>
  <si>
    <t>EVALDO LUIZ GLASS MORARI</t>
  </si>
  <si>
    <t>BEBIDAS KOLLER LTDA</t>
  </si>
  <si>
    <t>BASTOS E BASTOS METALURGICA E COMERCIO</t>
  </si>
  <si>
    <t>SANTI INDUSTRIA E COMERCIO LTDA</t>
  </si>
  <si>
    <t>FLORESTAL ALIMENTOS S.A.</t>
  </si>
  <si>
    <t>P A CHIELLA</t>
  </si>
  <si>
    <t>CEREALE PRODUTOS INTEGRAIS LTDA.</t>
  </si>
  <si>
    <t>IND E COM DE SABAO ZAVASKI LTDA</t>
  </si>
  <si>
    <t>ADESUL IND E COM LTDA</t>
  </si>
  <si>
    <t>KI-KAKAU IND E COM DE CHOCOLATES LTDA</t>
  </si>
  <si>
    <t>ADI-GEL IND. E COM. DE PROD. ALIMENT.</t>
  </si>
  <si>
    <t>EPG COMERCIO DE ALIMENTOS LTDA</t>
  </si>
  <si>
    <t>DELAVY ALIMENTOS LTDA</t>
  </si>
  <si>
    <t>SGM INDUSTRIA DE COSMETICOS LTDA</t>
  </si>
  <si>
    <t>TRAMONTINA ELETRIK S.A</t>
  </si>
  <si>
    <t>MOINHOS UNIDOS BRASIL MATE S.A</t>
  </si>
  <si>
    <t>LB COMERCIO DE CEREAIS LTDA</t>
  </si>
  <si>
    <t>FITOS ALIMENTOS LTDA</t>
  </si>
  <si>
    <t>64713641 ISLEIDE MARIA GONCALVES CORDEIRO RODRIGUES</t>
  </si>
  <si>
    <t>ERVATEIRA PICOLO BADALOTTI LTDA.</t>
  </si>
  <si>
    <t>AMAZONIA BRASIL COSMETICOS LTDA</t>
  </si>
  <si>
    <t>COLGATE PALMOLIVE COMERCIAL LTDA</t>
  </si>
  <si>
    <t>FLORISVALDO MARTINS RODRIGUES</t>
  </si>
  <si>
    <t>CELARE ALIMENTOS COM DISTRIB LTDA</t>
  </si>
  <si>
    <t>MATEVEL-ERVA MATE VERDINHA LTDA.</t>
  </si>
  <si>
    <t>MILTON R.MARQUES/A.PERES/J ROS</t>
  </si>
  <si>
    <t>SANGOI E RUVIARO LTDA</t>
  </si>
  <si>
    <t>GABOARDI INDUSTRIAL DE MADEIRAS LTDA</t>
  </si>
  <si>
    <t>FERMENTO GOOD INSTANT LTDA.</t>
  </si>
  <si>
    <t>DU DIGO DESCARTAVEIS LTDA</t>
  </si>
  <si>
    <t>HIPER TEXTIL CAMA MESA E BANHO LTDA</t>
  </si>
  <si>
    <t>DZ PETS LTDA</t>
  </si>
  <si>
    <t>SICAD DO BRASIL FITAS A.ADESIVAS LTDA</t>
  </si>
  <si>
    <t>JIMO QUIMICA INDL LTDA</t>
  </si>
  <si>
    <t>MENON COMERCIO E REPRESENTACOES LTDA</t>
  </si>
  <si>
    <t>BRDECOR COM E IMP DE ARTIGOS FESTA</t>
  </si>
  <si>
    <t>RITTER ALIMENTOS S.A.</t>
  </si>
  <si>
    <t>POMPEIA SA INDUSTRIA E COMERCIO</t>
  </si>
  <si>
    <t>ALIMENTOS N BONN LTDA</t>
  </si>
  <si>
    <t>MADRUGADA ALIMENTOS LTDA</t>
  </si>
  <si>
    <t>GRACIELA MATOSAS LUQUE DE KUCZURA</t>
  </si>
  <si>
    <t>COOP SUINOCULTORES DO CAI SUPERIOR LTDA</t>
  </si>
  <si>
    <t>MOSMANN ALIM LTDA</t>
  </si>
  <si>
    <t>DISJOI S/A DISTRIBUICAO E LOGISTICA</t>
  </si>
  <si>
    <t>MILANESE INDUSTRIA DE ALIMENTOS LTDA</t>
  </si>
  <si>
    <t>COMERCIO DE FRUTAS METZ - HARMONIA</t>
  </si>
  <si>
    <t>PIRISA PIRETRO INDUSTRIAL LTDA</t>
  </si>
  <si>
    <t>INDUSTRIA E COMERCIO DE ERVA MATE SAO GABRIEL</t>
  </si>
  <si>
    <t>DOCILE ALIMENTOS LTDA</t>
  </si>
  <si>
    <t>PANIFICIO PANINE LTDA</t>
  </si>
  <si>
    <t>MARCIO MARCANDALLI</t>
  </si>
  <si>
    <t>EQUILIBRIO SAUDAVEL PROD NATURAIS EIRELI</t>
  </si>
  <si>
    <t>NEILAR IND COM DE ALIMENTOS LTDA</t>
  </si>
  <si>
    <t>DIMED S.A. DISTRIBUIDORA DE MEDICAMENTOS</t>
  </si>
  <si>
    <t>PORCELANA UNITA LTDA</t>
  </si>
  <si>
    <t>GILMARA F SILVA</t>
  </si>
  <si>
    <t>V MADALOZZO E CIA LTDA</t>
  </si>
  <si>
    <t>POLWAX INDUSTRIA QUIMICA LTDA</t>
  </si>
  <si>
    <t>MOINHO ESTRELA LTDA</t>
  </si>
  <si>
    <t>TIAGO MACHADO ZIANI</t>
  </si>
  <si>
    <t>YARA ALIMENTOS LTDA.</t>
  </si>
  <si>
    <t>CAMPEROTCHE IND E COM ALIMENTOS LTDA</t>
  </si>
  <si>
    <t>ALORI DA ROSA SANTANA</t>
  </si>
  <si>
    <t>BONELLA E SIQUEIRA LTDA</t>
  </si>
  <si>
    <t>COOP SANTA CLARA LTDA FRIGORIFICO</t>
  </si>
  <si>
    <t>RONEI MENDONCA FRANCO CAMILA ECHEVERRIA</t>
  </si>
  <si>
    <t>COOP DALIA ALIMENTOS LTDA</t>
  </si>
  <si>
    <t>SANREMO S E A</t>
  </si>
  <si>
    <t>TRIVIALY ALIMENTOS LTDA</t>
  </si>
  <si>
    <t>HIPER TEXTIL LTDA</t>
  </si>
  <si>
    <t>COML WELTER MELATI SORVETES E GENEROS ALIMENTICIOS LTDA</t>
  </si>
  <si>
    <t>DALMOLIN &amp; VANZIN IMPORTACAO E EXPORTACAO DE PRODUTOS ALIMENTICIOS LTDA</t>
  </si>
  <si>
    <t>AZANELLA REPRESENTACAO LTDA</t>
  </si>
  <si>
    <t>ERVATEIRA TAURA LTDA</t>
  </si>
  <si>
    <t>DARCI JACINTO PERIN &amp; CIA LTDA</t>
  </si>
  <si>
    <t>RAFAEL CRUZ DA SILVA</t>
  </si>
  <si>
    <t>FELTRIN SEMENTES LTDA</t>
  </si>
  <si>
    <t>GENESIO CEOLIN E CIA LTDA</t>
  </si>
  <si>
    <t>Rótulos de Linha</t>
  </si>
  <si>
    <t>Total geral</t>
  </si>
  <si>
    <t>dif</t>
  </si>
  <si>
    <t>Fornec</t>
  </si>
  <si>
    <t>Query a.ranking</t>
  </si>
  <si>
    <t>consinco ABC de Entrada CGO</t>
  </si>
  <si>
    <t>1 - compra</t>
  </si>
  <si>
    <t>28 - compra</t>
  </si>
  <si>
    <t>32 - compra</t>
  </si>
  <si>
    <t>101 - bonif</t>
  </si>
  <si>
    <t>200 - compra</t>
  </si>
  <si>
    <t>290 - compra</t>
  </si>
  <si>
    <t>801 - transferencia devoluçao</t>
  </si>
  <si>
    <t>802 - devolucao fornecedor</t>
  </si>
  <si>
    <t>860 - troca fornecedor</t>
  </si>
  <si>
    <t>Total compras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</si>
</sst>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5" formatCode="_-* #,##0_-;\-* #,##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43" fontId="0" fillId="0" borderId="0" xfId="1" applyFont="1"/>
    <xf numFmtId="0" fontId="2" fillId="0" borderId="0" xfId="0" applyFont="1"/>
    <xf numFmtId="0" fontId="0" fillId="0" borderId="0" xfId="0" applyFont="1"/>
    <xf numFmtId="43" fontId="0" fillId="2" borderId="0" xfId="1" applyFont="1" applyFill="1" applyBorder="1" applyAlignment="1">
      <alignment horizontal="center"/>
    </xf>
    <xf numFmtId="43" fontId="0" fillId="2" borderId="5" xfId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43" fontId="0" fillId="2" borderId="4" xfId="1" applyFont="1" applyFill="1" applyBorder="1"/>
    <xf numFmtId="43" fontId="0" fillId="2" borderId="0" xfId="1" applyFont="1" applyFill="1" applyBorder="1"/>
    <xf numFmtId="43" fontId="0" fillId="2" borderId="5" xfId="1" applyFont="1" applyFill="1" applyBorder="1"/>
    <xf numFmtId="43" fontId="1" fillId="2" borderId="4" xfId="1" applyFont="1" applyFill="1" applyBorder="1"/>
    <xf numFmtId="43" fontId="0" fillId="2" borderId="6" xfId="1" applyFont="1" applyFill="1" applyBorder="1"/>
    <xf numFmtId="43" fontId="0" fillId="2" borderId="7" xfId="1" applyFont="1" applyFill="1" applyBorder="1"/>
    <xf numFmtId="43" fontId="0" fillId="2" borderId="8" xfId="1" applyFont="1" applyFill="1" applyBorder="1"/>
    <xf numFmtId="43" fontId="0" fillId="2" borderId="0" xfId="1" applyFont="1" applyFill="1"/>
    <xf numFmtId="0" fontId="0" fillId="2" borderId="0" xfId="0" applyFill="1"/>
    <xf numFmtId="43" fontId="0" fillId="3" borderId="1" xfId="1" applyFont="1" applyFill="1" applyBorder="1" applyAlignment="1">
      <alignment horizontal="center"/>
    </xf>
    <xf numFmtId="43" fontId="0" fillId="3" borderId="2" xfId="1" applyFont="1" applyFill="1" applyBorder="1" applyAlignment="1">
      <alignment horizontal="center"/>
    </xf>
    <xf numFmtId="43" fontId="0" fillId="3" borderId="3" xfId="1" applyFont="1" applyFill="1" applyBorder="1" applyAlignment="1">
      <alignment horizontal="center"/>
    </xf>
    <xf numFmtId="43" fontId="2" fillId="3" borderId="4" xfId="1" applyFont="1" applyFill="1" applyBorder="1"/>
    <xf numFmtId="43" fontId="2" fillId="3" borderId="0" xfId="1" applyFont="1" applyFill="1" applyBorder="1"/>
    <xf numFmtId="43" fontId="2" fillId="3" borderId="5" xfId="1" applyFont="1" applyFill="1" applyBorder="1"/>
    <xf numFmtId="43" fontId="0" fillId="3" borderId="4" xfId="1" applyFont="1" applyFill="1" applyBorder="1"/>
    <xf numFmtId="43" fontId="0" fillId="3" borderId="0" xfId="1" applyFont="1" applyFill="1" applyBorder="1"/>
    <xf numFmtId="43" fontId="0" fillId="3" borderId="5" xfId="0" applyNumberFormat="1" applyFill="1" applyBorder="1"/>
    <xf numFmtId="43" fontId="0" fillId="3" borderId="6" xfId="1" applyFont="1" applyFill="1" applyBorder="1"/>
    <xf numFmtId="43" fontId="0" fillId="3" borderId="7" xfId="1" applyFont="1" applyFill="1" applyBorder="1"/>
    <xf numFmtId="43" fontId="0" fillId="3" borderId="8" xfId="0" applyNumberFormat="1" applyFill="1" applyBorder="1"/>
    <xf numFmtId="43" fontId="0" fillId="3" borderId="0" xfId="1" applyFont="1" applyFill="1"/>
    <xf numFmtId="43" fontId="0" fillId="3" borderId="0" xfId="0" applyNumberFormat="1" applyFill="1"/>
  </cellXfs>
  <cellStyles count="2">
    <cellStyle name="Normal" xfId="0" builtinId="0"/>
    <cellStyle name="Separador de milhares" xfId="1" builtinId="3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5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0.140625" style="3" customWidth="1"/>
    <col min="2" max="2" width="30.28515625" style="3" customWidth="1"/>
    <col min="3" max="3" width="14.85546875" style="1" customWidth="1"/>
    <col min="4" max="4" width="13.28515625" style="1" bestFit="1" customWidth="1"/>
    <col min="5" max="5" width="11.5703125" style="1" bestFit="1" customWidth="1"/>
    <col min="6" max="6" width="10.5703125" bestFit="1" customWidth="1"/>
    <col min="7" max="7" width="11.5703125" style="1" bestFit="1" customWidth="1"/>
    <col min="8" max="8" width="10.5703125" style="1" bestFit="1" customWidth="1"/>
    <col min="9" max="9" width="14.28515625" customWidth="1"/>
    <col min="10" max="10" width="30.140625" style="1" bestFit="1" customWidth="1"/>
    <col min="11" max="11" width="25.140625" style="1" bestFit="1" customWidth="1"/>
    <col min="12" max="12" width="14.28515625" style="1" bestFit="1" customWidth="1"/>
    <col min="13" max="13" width="14.7109375" style="1" customWidth="1"/>
    <col min="14" max="14" width="12" style="1" customWidth="1"/>
    <col min="15" max="15" width="26" style="1" bestFit="1" customWidth="1"/>
    <col min="16" max="16" width="9.5703125" style="1" bestFit="1" customWidth="1"/>
    <col min="17" max="17" width="20.5703125" style="1" bestFit="1" customWidth="1"/>
    <col min="18" max="18" width="11.5703125" style="1" customWidth="1"/>
    <col min="19" max="19" width="18.28515625" style="1" bestFit="1" customWidth="1"/>
    <col min="20" max="20" width="10.5703125" bestFit="1" customWidth="1"/>
    <col min="21" max="21" width="12.140625" style="1" customWidth="1"/>
  </cols>
  <sheetData>
    <row r="1" spans="1:20" ht="15.75" thickBot="1">
      <c r="C1" s="4" t="s">
        <v>283</v>
      </c>
      <c r="D1" s="4"/>
      <c r="E1" s="4"/>
      <c r="F1" s="4"/>
      <c r="G1" s="4"/>
      <c r="H1" s="4"/>
      <c r="I1" s="4"/>
      <c r="J1" s="4"/>
      <c r="K1" s="4"/>
      <c r="L1" s="5"/>
      <c r="M1" s="19" t="s">
        <v>282</v>
      </c>
      <c r="N1" s="20"/>
      <c r="O1" s="20"/>
      <c r="P1" s="20"/>
      <c r="Q1" s="20"/>
      <c r="R1" s="20"/>
      <c r="S1" s="20"/>
      <c r="T1" s="21"/>
    </row>
    <row r="2" spans="1:20" s="2" customFormat="1">
      <c r="A2" s="3" t="s">
        <v>278</v>
      </c>
      <c r="B2" t="s">
        <v>281</v>
      </c>
      <c r="C2" s="6" t="s">
        <v>284</v>
      </c>
      <c r="D2" s="7" t="s">
        <v>285</v>
      </c>
      <c r="E2" s="8" t="s">
        <v>286</v>
      </c>
      <c r="F2" s="18" t="s">
        <v>287</v>
      </c>
      <c r="G2" s="8" t="s">
        <v>288</v>
      </c>
      <c r="H2" s="8" t="s">
        <v>289</v>
      </c>
      <c r="I2" s="18" t="s">
        <v>290</v>
      </c>
      <c r="J2" s="8" t="s">
        <v>291</v>
      </c>
      <c r="K2" s="8" t="s">
        <v>292</v>
      </c>
      <c r="L2" s="9" t="s">
        <v>293</v>
      </c>
      <c r="M2" s="22" t="s">
        <v>0</v>
      </c>
      <c r="N2" s="23" t="s">
        <v>280</v>
      </c>
      <c r="O2" s="23" t="s">
        <v>1</v>
      </c>
      <c r="P2" s="23" t="s">
        <v>280</v>
      </c>
      <c r="Q2" s="23" t="s">
        <v>2</v>
      </c>
      <c r="R2" s="23" t="s">
        <v>280</v>
      </c>
      <c r="S2" s="23" t="s">
        <v>3</v>
      </c>
      <c r="T2" s="24" t="s">
        <v>280</v>
      </c>
    </row>
    <row r="3" spans="1:20" s="1" customFormat="1">
      <c r="A3" s="3">
        <v>1</v>
      </c>
      <c r="B3" s="3" t="s">
        <v>134</v>
      </c>
      <c r="C3" s="10">
        <v>24229.9</v>
      </c>
      <c r="D3" s="10"/>
      <c r="E3" s="11"/>
      <c r="F3" s="18"/>
      <c r="G3" s="11"/>
      <c r="H3" s="11">
        <v>3893.52</v>
      </c>
      <c r="I3" s="18"/>
      <c r="J3" s="11"/>
      <c r="K3" s="11"/>
      <c r="L3" s="12">
        <v>28123.420000000002</v>
      </c>
      <c r="M3" s="25">
        <v>28123.42</v>
      </c>
      <c r="N3" s="26">
        <f>L3-M3</f>
        <v>0</v>
      </c>
      <c r="O3" s="26">
        <v>0</v>
      </c>
      <c r="P3" s="26">
        <f t="shared" ref="P3:P9" si="0">O3+J3</f>
        <v>0</v>
      </c>
      <c r="Q3" s="26">
        <v>0</v>
      </c>
      <c r="R3" s="26">
        <f>K3+Q3</f>
        <v>0</v>
      </c>
      <c r="S3" s="26">
        <v>0</v>
      </c>
      <c r="T3" s="27">
        <f>F3-S3</f>
        <v>0</v>
      </c>
    </row>
    <row r="4" spans="1:20" s="1" customFormat="1">
      <c r="A4" s="3">
        <v>2</v>
      </c>
      <c r="B4" s="3" t="s">
        <v>134</v>
      </c>
      <c r="C4" s="10">
        <v>544.05999999999995</v>
      </c>
      <c r="D4" s="10">
        <v>4121.5</v>
      </c>
      <c r="E4" s="11"/>
      <c r="F4" s="18"/>
      <c r="G4" s="11"/>
      <c r="H4" s="11"/>
      <c r="I4" s="18"/>
      <c r="J4" s="11"/>
      <c r="K4" s="11"/>
      <c r="L4" s="12">
        <v>4665.5599999999995</v>
      </c>
      <c r="M4" s="25">
        <v>4603</v>
      </c>
      <c r="N4" s="26">
        <f>L4-M4</f>
        <v>62.559999999999491</v>
      </c>
      <c r="O4" s="26">
        <v>0</v>
      </c>
      <c r="P4" s="26">
        <f t="shared" si="0"/>
        <v>0</v>
      </c>
      <c r="Q4" s="26">
        <v>0</v>
      </c>
      <c r="R4" s="26">
        <f t="shared" ref="R4:R67" si="1">K4+Q4</f>
        <v>0</v>
      </c>
      <c r="S4" s="26">
        <v>0</v>
      </c>
      <c r="T4" s="27">
        <f t="shared" ref="T4:T67" si="2">F4-S4</f>
        <v>0</v>
      </c>
    </row>
    <row r="5" spans="1:20" s="1" customFormat="1">
      <c r="A5" s="3">
        <v>1792</v>
      </c>
      <c r="B5" s="3" t="s">
        <v>225</v>
      </c>
      <c r="C5" s="13">
        <v>189</v>
      </c>
      <c r="D5" s="10"/>
      <c r="E5" s="11"/>
      <c r="F5" s="18"/>
      <c r="G5" s="11">
        <v>6552</v>
      </c>
      <c r="H5" s="11"/>
      <c r="I5" s="18"/>
      <c r="J5" s="11"/>
      <c r="K5" s="11"/>
      <c r="L5" s="12">
        <v>6741</v>
      </c>
      <c r="M5" s="25">
        <v>6741</v>
      </c>
      <c r="N5" s="26">
        <f>L5-M5</f>
        <v>0</v>
      </c>
      <c r="O5" s="26">
        <v>0</v>
      </c>
      <c r="P5" s="26">
        <f t="shared" si="0"/>
        <v>0</v>
      </c>
      <c r="Q5" s="26">
        <v>0</v>
      </c>
      <c r="R5" s="26">
        <f t="shared" si="1"/>
        <v>0</v>
      </c>
      <c r="S5" s="26">
        <v>0</v>
      </c>
      <c r="T5" s="27">
        <f t="shared" si="2"/>
        <v>0</v>
      </c>
    </row>
    <row r="6" spans="1:20" s="1" customFormat="1">
      <c r="A6" s="3">
        <v>1947</v>
      </c>
      <c r="B6" s="3" t="s">
        <v>156</v>
      </c>
      <c r="C6" s="10"/>
      <c r="D6" s="10"/>
      <c r="E6" s="11"/>
      <c r="F6" s="18"/>
      <c r="G6" s="11">
        <v>21120</v>
      </c>
      <c r="H6" s="11"/>
      <c r="I6" s="18"/>
      <c r="J6" s="11"/>
      <c r="K6" s="11"/>
      <c r="L6" s="12">
        <v>21120</v>
      </c>
      <c r="M6" s="25">
        <v>21120</v>
      </c>
      <c r="N6" s="26">
        <f>L6-M6</f>
        <v>0</v>
      </c>
      <c r="O6" s="26">
        <v>0</v>
      </c>
      <c r="P6" s="26">
        <f t="shared" si="0"/>
        <v>0</v>
      </c>
      <c r="Q6" s="26">
        <v>0</v>
      </c>
      <c r="R6" s="26">
        <f t="shared" si="1"/>
        <v>0</v>
      </c>
      <c r="S6" s="26">
        <v>0</v>
      </c>
      <c r="T6" s="27">
        <f t="shared" si="2"/>
        <v>0</v>
      </c>
    </row>
    <row r="7" spans="1:20" s="1" customFormat="1">
      <c r="A7" s="3">
        <v>2111</v>
      </c>
      <c r="B7" s="3" t="s">
        <v>265</v>
      </c>
      <c r="C7" s="10"/>
      <c r="D7" s="10"/>
      <c r="E7" s="11"/>
      <c r="F7" s="18"/>
      <c r="G7" s="11">
        <v>1345.55</v>
      </c>
      <c r="H7" s="11"/>
      <c r="I7" s="18"/>
      <c r="J7" s="11"/>
      <c r="K7" s="11"/>
      <c r="L7" s="12">
        <v>1345.55</v>
      </c>
      <c r="M7" s="25">
        <v>1345.55</v>
      </c>
      <c r="N7" s="26">
        <f>L7-M7</f>
        <v>0</v>
      </c>
      <c r="O7" s="26">
        <v>0</v>
      </c>
      <c r="P7" s="26">
        <f t="shared" si="0"/>
        <v>0</v>
      </c>
      <c r="Q7" s="26">
        <v>0</v>
      </c>
      <c r="R7" s="26">
        <f t="shared" si="1"/>
        <v>0</v>
      </c>
      <c r="S7" s="26">
        <v>0</v>
      </c>
      <c r="T7" s="27">
        <f t="shared" si="2"/>
        <v>0</v>
      </c>
    </row>
    <row r="8" spans="1:20" s="1" customFormat="1">
      <c r="A8" s="3">
        <v>2298</v>
      </c>
      <c r="B8" s="3" t="s">
        <v>200</v>
      </c>
      <c r="C8" s="10"/>
      <c r="D8" s="10"/>
      <c r="E8" s="11"/>
      <c r="F8" s="18"/>
      <c r="G8" s="11">
        <v>11077.5</v>
      </c>
      <c r="H8" s="11"/>
      <c r="I8" s="18"/>
      <c r="J8" s="11"/>
      <c r="K8" s="11"/>
      <c r="L8" s="12">
        <v>11077.5</v>
      </c>
      <c r="M8" s="25">
        <v>11077.5</v>
      </c>
      <c r="N8" s="26">
        <f>L8-M8</f>
        <v>0</v>
      </c>
      <c r="O8" s="26">
        <v>0</v>
      </c>
      <c r="P8" s="26">
        <f t="shared" si="0"/>
        <v>0</v>
      </c>
      <c r="Q8" s="26">
        <v>0</v>
      </c>
      <c r="R8" s="26">
        <f t="shared" si="1"/>
        <v>0</v>
      </c>
      <c r="S8" s="26">
        <v>0</v>
      </c>
      <c r="T8" s="27">
        <f t="shared" si="2"/>
        <v>0</v>
      </c>
    </row>
    <row r="9" spans="1:20" s="1" customFormat="1">
      <c r="A9" s="3">
        <v>2428</v>
      </c>
      <c r="B9" s="3" t="s">
        <v>221</v>
      </c>
      <c r="C9" s="10">
        <v>7836.48</v>
      </c>
      <c r="D9" s="10"/>
      <c r="E9" s="11"/>
      <c r="F9" s="18"/>
      <c r="G9" s="11"/>
      <c r="H9" s="11"/>
      <c r="I9" s="18"/>
      <c r="J9" s="11"/>
      <c r="K9" s="11"/>
      <c r="L9" s="12">
        <v>7836.48</v>
      </c>
      <c r="M9" s="25">
        <v>7836.48</v>
      </c>
      <c r="N9" s="26">
        <f>L9-M9</f>
        <v>0</v>
      </c>
      <c r="O9" s="26">
        <v>0</v>
      </c>
      <c r="P9" s="26">
        <f t="shared" si="0"/>
        <v>0</v>
      </c>
      <c r="Q9" s="26">
        <v>0</v>
      </c>
      <c r="R9" s="26">
        <f t="shared" si="1"/>
        <v>0</v>
      </c>
      <c r="S9" s="26">
        <v>0</v>
      </c>
      <c r="T9" s="27">
        <f t="shared" si="2"/>
        <v>0</v>
      </c>
    </row>
    <row r="10" spans="1:20" s="1" customFormat="1">
      <c r="A10" s="3">
        <v>2541</v>
      </c>
      <c r="B10" s="3" t="s">
        <v>43</v>
      </c>
      <c r="C10" s="10">
        <v>6124</v>
      </c>
      <c r="D10" s="10">
        <v>137734</v>
      </c>
      <c r="E10" s="11">
        <v>375</v>
      </c>
      <c r="F10" s="18"/>
      <c r="G10" s="11">
        <v>26427</v>
      </c>
      <c r="H10" s="11"/>
      <c r="I10" s="18"/>
      <c r="J10" s="11">
        <v>-753.6</v>
      </c>
      <c r="K10" s="11"/>
      <c r="L10" s="12">
        <v>169906.4</v>
      </c>
      <c r="M10" s="25">
        <v>170660</v>
      </c>
      <c r="N10" s="26">
        <f>L10-M10</f>
        <v>-753.60000000000582</v>
      </c>
      <c r="O10" s="26">
        <v>753.6</v>
      </c>
      <c r="P10" s="26">
        <f>O10+J10</f>
        <v>0</v>
      </c>
      <c r="Q10" s="26">
        <v>0</v>
      </c>
      <c r="R10" s="26">
        <f t="shared" si="1"/>
        <v>0</v>
      </c>
      <c r="S10" s="26">
        <v>0</v>
      </c>
      <c r="T10" s="27">
        <f t="shared" si="2"/>
        <v>0</v>
      </c>
    </row>
    <row r="11" spans="1:20" s="1" customFormat="1">
      <c r="A11" s="3">
        <v>2597</v>
      </c>
      <c r="B11" s="3" t="s">
        <v>8</v>
      </c>
      <c r="C11" s="10">
        <v>1304220</v>
      </c>
      <c r="D11" s="10"/>
      <c r="E11" s="11"/>
      <c r="F11" s="18"/>
      <c r="G11" s="11"/>
      <c r="H11" s="11"/>
      <c r="I11" s="18"/>
      <c r="J11" s="11"/>
      <c r="K11" s="11"/>
      <c r="L11" s="12">
        <v>1304220</v>
      </c>
      <c r="M11" s="25">
        <v>1304220</v>
      </c>
      <c r="N11" s="26">
        <f>L11-M11</f>
        <v>0</v>
      </c>
      <c r="O11" s="26">
        <v>0</v>
      </c>
      <c r="P11" s="26">
        <f t="shared" ref="P11:P74" si="3">O11+J11</f>
        <v>0</v>
      </c>
      <c r="Q11" s="26">
        <v>0</v>
      </c>
      <c r="R11" s="26">
        <f t="shared" si="1"/>
        <v>0</v>
      </c>
      <c r="S11" s="26">
        <v>0</v>
      </c>
      <c r="T11" s="27">
        <f t="shared" si="2"/>
        <v>0</v>
      </c>
    </row>
    <row r="12" spans="1:20" s="1" customFormat="1">
      <c r="A12" s="3">
        <v>2691</v>
      </c>
      <c r="B12" s="3" t="s">
        <v>260</v>
      </c>
      <c r="C12" s="10"/>
      <c r="D12" s="10">
        <v>2479</v>
      </c>
      <c r="E12" s="11"/>
      <c r="F12" s="18"/>
      <c r="G12" s="11"/>
      <c r="H12" s="11"/>
      <c r="I12" s="18"/>
      <c r="J12" s="11"/>
      <c r="K12" s="11"/>
      <c r="L12" s="12">
        <v>2479</v>
      </c>
      <c r="M12" s="25">
        <v>2479</v>
      </c>
      <c r="N12" s="26">
        <f>L12-M12</f>
        <v>0</v>
      </c>
      <c r="O12" s="26">
        <v>0</v>
      </c>
      <c r="P12" s="26">
        <f t="shared" si="3"/>
        <v>0</v>
      </c>
      <c r="Q12" s="26">
        <v>0</v>
      </c>
      <c r="R12" s="26">
        <f t="shared" si="1"/>
        <v>0</v>
      </c>
      <c r="S12" s="26">
        <v>0</v>
      </c>
      <c r="T12" s="27">
        <f t="shared" si="2"/>
        <v>0</v>
      </c>
    </row>
    <row r="13" spans="1:20" s="1" customFormat="1">
      <c r="A13" s="3">
        <v>2881</v>
      </c>
      <c r="B13" s="3" t="s">
        <v>27</v>
      </c>
      <c r="C13" s="10">
        <v>243382.39999999999</v>
      </c>
      <c r="D13" s="10"/>
      <c r="E13" s="11"/>
      <c r="F13" s="18"/>
      <c r="G13" s="11"/>
      <c r="H13" s="11"/>
      <c r="I13" s="18"/>
      <c r="J13" s="11">
        <v>-8025.83</v>
      </c>
      <c r="K13" s="11"/>
      <c r="L13" s="12">
        <v>235356.57</v>
      </c>
      <c r="M13" s="25">
        <v>243382.39999999999</v>
      </c>
      <c r="N13" s="26">
        <f>L13-M13</f>
        <v>-8025.8299999999872</v>
      </c>
      <c r="O13" s="26">
        <v>8025.83</v>
      </c>
      <c r="P13" s="26">
        <f>O13+J13</f>
        <v>0</v>
      </c>
      <c r="Q13" s="26">
        <v>0</v>
      </c>
      <c r="R13" s="26">
        <f t="shared" si="1"/>
        <v>0</v>
      </c>
      <c r="S13" s="26">
        <v>0</v>
      </c>
      <c r="T13" s="27">
        <f t="shared" si="2"/>
        <v>0</v>
      </c>
    </row>
    <row r="14" spans="1:20" s="1" customFormat="1">
      <c r="A14" s="3">
        <v>2957</v>
      </c>
      <c r="B14" s="3" t="s">
        <v>24</v>
      </c>
      <c r="C14" s="10">
        <v>540</v>
      </c>
      <c r="D14" s="10">
        <v>101798.1</v>
      </c>
      <c r="E14" s="11"/>
      <c r="F14" s="18"/>
      <c r="G14" s="11">
        <v>171726.59</v>
      </c>
      <c r="H14" s="11"/>
      <c r="I14" s="18"/>
      <c r="J14" s="11">
        <v>-958.8</v>
      </c>
      <c r="K14" s="11"/>
      <c r="L14" s="12">
        <v>273105.89</v>
      </c>
      <c r="M14" s="25">
        <v>274064.69</v>
      </c>
      <c r="N14" s="26">
        <f>L14-M14</f>
        <v>-958.79999999998836</v>
      </c>
      <c r="O14" s="26">
        <v>958.8</v>
      </c>
      <c r="P14" s="26">
        <f t="shared" si="3"/>
        <v>0</v>
      </c>
      <c r="Q14" s="26">
        <v>0</v>
      </c>
      <c r="R14" s="26">
        <f t="shared" si="1"/>
        <v>0</v>
      </c>
      <c r="S14" s="26">
        <v>0</v>
      </c>
      <c r="T14" s="27">
        <f t="shared" si="2"/>
        <v>0</v>
      </c>
    </row>
    <row r="15" spans="1:20" s="1" customFormat="1">
      <c r="A15" s="3">
        <v>2977</v>
      </c>
      <c r="B15" s="3" t="s">
        <v>212</v>
      </c>
      <c r="C15" s="10">
        <v>9366.93</v>
      </c>
      <c r="D15" s="10"/>
      <c r="E15" s="11"/>
      <c r="F15" s="18"/>
      <c r="G15" s="11"/>
      <c r="H15" s="11"/>
      <c r="I15" s="18"/>
      <c r="J15" s="11"/>
      <c r="K15" s="11">
        <v>-435.18</v>
      </c>
      <c r="L15" s="12">
        <v>8931.75</v>
      </c>
      <c r="M15" s="25">
        <v>9366.93</v>
      </c>
      <c r="N15" s="26">
        <f>L15-M15</f>
        <v>-435.18000000000029</v>
      </c>
      <c r="O15" s="26">
        <v>0</v>
      </c>
      <c r="P15" s="26">
        <f t="shared" si="3"/>
        <v>0</v>
      </c>
      <c r="Q15" s="26">
        <v>522</v>
      </c>
      <c r="R15" s="26">
        <f t="shared" si="1"/>
        <v>86.82</v>
      </c>
      <c r="S15" s="26">
        <v>435.18</v>
      </c>
      <c r="T15" s="27">
        <f t="shared" si="2"/>
        <v>-435.18</v>
      </c>
    </row>
    <row r="16" spans="1:20" s="1" customFormat="1">
      <c r="A16" s="3">
        <v>3026</v>
      </c>
      <c r="B16" s="3" t="s">
        <v>82</v>
      </c>
      <c r="C16" s="10">
        <v>79395.5</v>
      </c>
      <c r="D16" s="10"/>
      <c r="E16" s="11"/>
      <c r="F16" s="18"/>
      <c r="G16" s="11"/>
      <c r="H16" s="11"/>
      <c r="I16" s="18"/>
      <c r="J16" s="11"/>
      <c r="K16" s="11"/>
      <c r="L16" s="12">
        <v>79395.5</v>
      </c>
      <c r="M16" s="25">
        <v>79395.5</v>
      </c>
      <c r="N16" s="26">
        <f>L16-M16</f>
        <v>0</v>
      </c>
      <c r="O16" s="26">
        <v>0</v>
      </c>
      <c r="P16" s="26">
        <f t="shared" si="3"/>
        <v>0</v>
      </c>
      <c r="Q16" s="26">
        <v>0</v>
      </c>
      <c r="R16" s="26">
        <f t="shared" si="1"/>
        <v>0</v>
      </c>
      <c r="S16" s="26">
        <v>0</v>
      </c>
      <c r="T16" s="27">
        <f t="shared" si="2"/>
        <v>0</v>
      </c>
    </row>
    <row r="17" spans="1:20" s="1" customFormat="1">
      <c r="A17" s="3">
        <v>3075</v>
      </c>
      <c r="B17" s="3" t="s">
        <v>107</v>
      </c>
      <c r="C17" s="10">
        <v>45754.8</v>
      </c>
      <c r="D17" s="10"/>
      <c r="E17" s="11"/>
      <c r="F17" s="18"/>
      <c r="G17" s="11"/>
      <c r="H17" s="11"/>
      <c r="I17" s="18"/>
      <c r="J17" s="11">
        <v>-50.64</v>
      </c>
      <c r="K17" s="11"/>
      <c r="L17" s="12">
        <v>45704.160000000003</v>
      </c>
      <c r="M17" s="25">
        <v>45754.8</v>
      </c>
      <c r="N17" s="26">
        <f>L17-M17</f>
        <v>-50.639999999999418</v>
      </c>
      <c r="O17" s="26">
        <v>50.64</v>
      </c>
      <c r="P17" s="26">
        <f t="shared" si="3"/>
        <v>0</v>
      </c>
      <c r="Q17" s="26">
        <v>0</v>
      </c>
      <c r="R17" s="26">
        <f t="shared" si="1"/>
        <v>0</v>
      </c>
      <c r="S17" s="26">
        <v>0</v>
      </c>
      <c r="T17" s="27">
        <f t="shared" si="2"/>
        <v>0</v>
      </c>
    </row>
    <row r="18" spans="1:20" s="1" customFormat="1">
      <c r="A18" s="3">
        <v>3076</v>
      </c>
      <c r="B18" s="3" t="s">
        <v>107</v>
      </c>
      <c r="C18" s="10">
        <v>26025.3</v>
      </c>
      <c r="D18" s="10"/>
      <c r="E18" s="11"/>
      <c r="F18" s="18"/>
      <c r="G18" s="11"/>
      <c r="H18" s="11"/>
      <c r="I18" s="18"/>
      <c r="J18" s="11">
        <v>-123.93</v>
      </c>
      <c r="K18" s="11"/>
      <c r="L18" s="12">
        <v>25901.37</v>
      </c>
      <c r="M18" s="25">
        <v>26025.3</v>
      </c>
      <c r="N18" s="26">
        <f>L18-M18</f>
        <v>-123.93000000000029</v>
      </c>
      <c r="O18" s="26">
        <v>123.93</v>
      </c>
      <c r="P18" s="26">
        <f t="shared" si="3"/>
        <v>0</v>
      </c>
      <c r="Q18" s="26">
        <v>0</v>
      </c>
      <c r="R18" s="26">
        <f t="shared" si="1"/>
        <v>0</v>
      </c>
      <c r="S18" s="26">
        <v>0</v>
      </c>
      <c r="T18" s="27">
        <f t="shared" si="2"/>
        <v>0</v>
      </c>
    </row>
    <row r="19" spans="1:20" s="1" customFormat="1">
      <c r="A19" s="3">
        <v>3266</v>
      </c>
      <c r="B19" s="3" t="s">
        <v>73</v>
      </c>
      <c r="C19" s="10">
        <v>93268.46</v>
      </c>
      <c r="D19" s="10"/>
      <c r="E19" s="11"/>
      <c r="F19" s="18"/>
      <c r="G19" s="11"/>
      <c r="H19" s="11"/>
      <c r="I19" s="18"/>
      <c r="J19" s="11">
        <v>-87.4</v>
      </c>
      <c r="K19" s="11"/>
      <c r="L19" s="12">
        <v>93181.060000000012</v>
      </c>
      <c r="M19" s="25">
        <v>93268.459999999992</v>
      </c>
      <c r="N19" s="26">
        <f>L19-M19</f>
        <v>-87.399999999979627</v>
      </c>
      <c r="O19" s="26">
        <v>0</v>
      </c>
      <c r="P19" s="26">
        <f t="shared" si="3"/>
        <v>-87.4</v>
      </c>
      <c r="Q19" s="26">
        <v>0</v>
      </c>
      <c r="R19" s="26">
        <f t="shared" si="1"/>
        <v>0</v>
      </c>
      <c r="S19" s="26">
        <v>0</v>
      </c>
      <c r="T19" s="27">
        <f t="shared" si="2"/>
        <v>0</v>
      </c>
    </row>
    <row r="20" spans="1:20" s="1" customFormat="1">
      <c r="A20" s="3">
        <v>3303</v>
      </c>
      <c r="B20" s="3" t="s">
        <v>268</v>
      </c>
      <c r="C20" s="10">
        <v>1064.48</v>
      </c>
      <c r="D20" s="10"/>
      <c r="E20" s="11"/>
      <c r="F20" s="18"/>
      <c r="G20" s="11"/>
      <c r="H20" s="11"/>
      <c r="I20" s="18"/>
      <c r="J20" s="11"/>
      <c r="K20" s="11"/>
      <c r="L20" s="12">
        <v>1064.48</v>
      </c>
      <c r="M20" s="25">
        <v>1064.48</v>
      </c>
      <c r="N20" s="26">
        <f>L20-M20</f>
        <v>0</v>
      </c>
      <c r="O20" s="26">
        <v>0</v>
      </c>
      <c r="P20" s="26">
        <f t="shared" si="3"/>
        <v>0</v>
      </c>
      <c r="Q20" s="26">
        <v>0</v>
      </c>
      <c r="R20" s="26">
        <f t="shared" si="1"/>
        <v>0</v>
      </c>
      <c r="S20" s="26">
        <v>0</v>
      </c>
      <c r="T20" s="27">
        <f t="shared" si="2"/>
        <v>0</v>
      </c>
    </row>
    <row r="21" spans="1:20" s="1" customFormat="1">
      <c r="A21" s="3">
        <v>3527</v>
      </c>
      <c r="B21" s="3" t="s">
        <v>59</v>
      </c>
      <c r="C21" s="10">
        <v>422098.77</v>
      </c>
      <c r="D21" s="10"/>
      <c r="E21" s="11"/>
      <c r="F21" s="18"/>
      <c r="G21" s="11"/>
      <c r="H21" s="11">
        <v>2229.08</v>
      </c>
      <c r="I21" s="18"/>
      <c r="J21" s="11">
        <v>-3615.99</v>
      </c>
      <c r="K21" s="11">
        <v>-2829.48</v>
      </c>
      <c r="L21" s="12">
        <v>417882.38000000006</v>
      </c>
      <c r="M21" s="25">
        <v>424327.85</v>
      </c>
      <c r="N21" s="26">
        <f>L21-M21</f>
        <v>-6445.4699999999139</v>
      </c>
      <c r="O21" s="26">
        <v>3615.99</v>
      </c>
      <c r="P21" s="26">
        <f t="shared" si="3"/>
        <v>0</v>
      </c>
      <c r="Q21" s="26">
        <v>7972.9500000000007</v>
      </c>
      <c r="R21" s="26">
        <f t="shared" si="1"/>
        <v>5143.4700000000012</v>
      </c>
      <c r="S21" s="26">
        <v>2829.48</v>
      </c>
      <c r="T21" s="27">
        <f t="shared" si="2"/>
        <v>-2829.48</v>
      </c>
    </row>
    <row r="22" spans="1:20" s="1" customFormat="1">
      <c r="A22" s="3">
        <v>3555</v>
      </c>
      <c r="B22" s="3" t="s">
        <v>206</v>
      </c>
      <c r="C22" s="10">
        <v>10231.200000000001</v>
      </c>
      <c r="D22" s="10"/>
      <c r="E22" s="11"/>
      <c r="F22" s="18"/>
      <c r="G22" s="11"/>
      <c r="H22" s="11"/>
      <c r="I22" s="18"/>
      <c r="J22" s="11">
        <v>-261.60000000000002</v>
      </c>
      <c r="K22" s="11">
        <v>-1049.68</v>
      </c>
      <c r="L22" s="12">
        <v>8919.92</v>
      </c>
      <c r="M22" s="25">
        <v>10231.200000000001</v>
      </c>
      <c r="N22" s="26">
        <f>L22-M22</f>
        <v>-1311.2800000000007</v>
      </c>
      <c r="O22" s="26">
        <v>261.60000000000002</v>
      </c>
      <c r="P22" s="26">
        <f t="shared" si="3"/>
        <v>0</v>
      </c>
      <c r="Q22" s="26">
        <v>1459.92</v>
      </c>
      <c r="R22" s="26">
        <f t="shared" si="1"/>
        <v>410.24</v>
      </c>
      <c r="S22" s="26">
        <v>1049.68</v>
      </c>
      <c r="T22" s="27">
        <f t="shared" si="2"/>
        <v>-1049.68</v>
      </c>
    </row>
    <row r="23" spans="1:20" s="1" customFormat="1">
      <c r="A23" s="3">
        <v>3589</v>
      </c>
      <c r="B23" s="3" t="s">
        <v>26</v>
      </c>
      <c r="C23" s="10">
        <v>267737.01</v>
      </c>
      <c r="D23" s="10"/>
      <c r="E23" s="11"/>
      <c r="F23" s="18"/>
      <c r="G23" s="11"/>
      <c r="H23" s="11"/>
      <c r="I23" s="18"/>
      <c r="J23" s="11">
        <v>-10438.83</v>
      </c>
      <c r="K23" s="11"/>
      <c r="L23" s="12">
        <v>257298.18000000002</v>
      </c>
      <c r="M23" s="25">
        <v>320714.23</v>
      </c>
      <c r="N23" s="26">
        <f>L23-M23</f>
        <v>-63416.049999999959</v>
      </c>
      <c r="O23" s="26">
        <v>10910.37</v>
      </c>
      <c r="P23" s="26">
        <f t="shared" si="3"/>
        <v>471.54000000000087</v>
      </c>
      <c r="Q23" s="26">
        <v>0</v>
      </c>
      <c r="R23" s="26">
        <f t="shared" si="1"/>
        <v>0</v>
      </c>
      <c r="S23" s="26">
        <v>0</v>
      </c>
      <c r="T23" s="27">
        <f t="shared" si="2"/>
        <v>0</v>
      </c>
    </row>
    <row r="24" spans="1:20" s="1" customFormat="1">
      <c r="A24" s="3">
        <v>3712</v>
      </c>
      <c r="B24" s="3" t="s">
        <v>97</v>
      </c>
      <c r="C24" s="10">
        <v>59012</v>
      </c>
      <c r="D24" s="10"/>
      <c r="E24" s="11"/>
      <c r="F24" s="18"/>
      <c r="G24" s="11"/>
      <c r="H24" s="11"/>
      <c r="I24" s="18"/>
      <c r="J24" s="11">
        <v>-48</v>
      </c>
      <c r="K24" s="11">
        <v>-268.67</v>
      </c>
      <c r="L24" s="12">
        <v>58695.33</v>
      </c>
      <c r="M24" s="25">
        <v>59012</v>
      </c>
      <c r="N24" s="26">
        <f>L24-M24</f>
        <v>-316.66999999999825</v>
      </c>
      <c r="O24" s="26">
        <v>48</v>
      </c>
      <c r="P24" s="26">
        <f t="shared" si="3"/>
        <v>0</v>
      </c>
      <c r="Q24" s="26">
        <v>0</v>
      </c>
      <c r="R24" s="26">
        <f t="shared" si="1"/>
        <v>-268.67</v>
      </c>
      <c r="S24" s="26">
        <v>268.67</v>
      </c>
      <c r="T24" s="27">
        <f t="shared" si="2"/>
        <v>-268.67</v>
      </c>
    </row>
    <row r="25" spans="1:20" s="1" customFormat="1">
      <c r="A25" s="3">
        <v>3818</v>
      </c>
      <c r="B25" s="3" t="s">
        <v>238</v>
      </c>
      <c r="C25" s="10">
        <v>5177.3900000000003</v>
      </c>
      <c r="D25" s="10"/>
      <c r="E25" s="11"/>
      <c r="F25" s="18"/>
      <c r="G25" s="11"/>
      <c r="H25" s="11"/>
      <c r="I25" s="18"/>
      <c r="J25" s="11"/>
      <c r="K25" s="11"/>
      <c r="L25" s="12">
        <v>5177.3900000000003</v>
      </c>
      <c r="M25" s="25">
        <v>5120</v>
      </c>
      <c r="N25" s="26">
        <f>L25-M25</f>
        <v>57.390000000000327</v>
      </c>
      <c r="O25" s="26">
        <v>0</v>
      </c>
      <c r="P25" s="26">
        <f t="shared" si="3"/>
        <v>0</v>
      </c>
      <c r="Q25" s="26">
        <v>0</v>
      </c>
      <c r="R25" s="26">
        <f t="shared" si="1"/>
        <v>0</v>
      </c>
      <c r="S25" s="26">
        <v>0</v>
      </c>
      <c r="T25" s="27">
        <f t="shared" si="2"/>
        <v>0</v>
      </c>
    </row>
    <row r="26" spans="1:20" s="1" customFormat="1">
      <c r="A26" s="3">
        <v>3894</v>
      </c>
      <c r="B26" s="3" t="s">
        <v>75</v>
      </c>
      <c r="C26" s="10"/>
      <c r="D26" s="10"/>
      <c r="E26" s="11">
        <v>89340</v>
      </c>
      <c r="F26" s="18">
        <v>126</v>
      </c>
      <c r="G26" s="11"/>
      <c r="H26" s="11"/>
      <c r="I26" s="18"/>
      <c r="J26" s="11"/>
      <c r="K26" s="11"/>
      <c r="L26" s="12">
        <v>89466</v>
      </c>
      <c r="M26" s="25">
        <v>89340</v>
      </c>
      <c r="N26" s="26">
        <f>L26-M26</f>
        <v>126</v>
      </c>
      <c r="O26" s="26">
        <v>0</v>
      </c>
      <c r="P26" s="26">
        <f t="shared" si="3"/>
        <v>0</v>
      </c>
      <c r="Q26" s="26">
        <v>252</v>
      </c>
      <c r="R26" s="26">
        <f t="shared" si="1"/>
        <v>252</v>
      </c>
      <c r="S26" s="26">
        <v>0</v>
      </c>
      <c r="T26" s="27">
        <f t="shared" si="2"/>
        <v>126</v>
      </c>
    </row>
    <row r="27" spans="1:20" s="1" customFormat="1">
      <c r="A27" s="3">
        <v>3946</v>
      </c>
      <c r="B27" s="3" t="s">
        <v>174</v>
      </c>
      <c r="C27" s="10">
        <v>18426.57</v>
      </c>
      <c r="D27" s="10"/>
      <c r="E27" s="11"/>
      <c r="F27" s="18"/>
      <c r="G27" s="11"/>
      <c r="H27" s="11"/>
      <c r="I27" s="18"/>
      <c r="J27" s="11"/>
      <c r="K27" s="11"/>
      <c r="L27" s="12">
        <v>18426.57</v>
      </c>
      <c r="M27" s="25">
        <v>16205.76</v>
      </c>
      <c r="N27" s="26">
        <f>L27-M27</f>
        <v>2220.8099999999995</v>
      </c>
      <c r="O27" s="26">
        <v>0</v>
      </c>
      <c r="P27" s="26">
        <f t="shared" si="3"/>
        <v>0</v>
      </c>
      <c r="Q27" s="26">
        <v>0</v>
      </c>
      <c r="R27" s="26">
        <f t="shared" si="1"/>
        <v>0</v>
      </c>
      <c r="S27" s="26">
        <v>0</v>
      </c>
      <c r="T27" s="27">
        <f t="shared" si="2"/>
        <v>0</v>
      </c>
    </row>
    <row r="28" spans="1:20" s="1" customFormat="1">
      <c r="A28" s="3">
        <v>3947</v>
      </c>
      <c r="B28" s="3" t="s">
        <v>100</v>
      </c>
      <c r="C28" s="10">
        <v>54078.96</v>
      </c>
      <c r="D28" s="10"/>
      <c r="E28" s="11"/>
      <c r="F28" s="18"/>
      <c r="G28" s="11"/>
      <c r="H28" s="11"/>
      <c r="I28" s="18"/>
      <c r="J28" s="11">
        <v>-1558.46</v>
      </c>
      <c r="K28" s="11"/>
      <c r="L28" s="12">
        <v>52520.5</v>
      </c>
      <c r="M28" s="25">
        <v>52791.55</v>
      </c>
      <c r="N28" s="26">
        <f>L28-M28</f>
        <v>-271.05000000000291</v>
      </c>
      <c r="O28" s="26">
        <v>1558.46</v>
      </c>
      <c r="P28" s="26">
        <f t="shared" si="3"/>
        <v>0</v>
      </c>
      <c r="Q28" s="26">
        <v>0</v>
      </c>
      <c r="R28" s="26">
        <f t="shared" si="1"/>
        <v>0</v>
      </c>
      <c r="S28" s="26">
        <v>0</v>
      </c>
      <c r="T28" s="27">
        <f t="shared" si="2"/>
        <v>0</v>
      </c>
    </row>
    <row r="29" spans="1:20" s="1" customFormat="1">
      <c r="A29" s="3">
        <v>3974</v>
      </c>
      <c r="B29" s="3" t="s">
        <v>228</v>
      </c>
      <c r="C29" s="10">
        <v>6395.1</v>
      </c>
      <c r="D29" s="10"/>
      <c r="E29" s="11"/>
      <c r="F29" s="18"/>
      <c r="G29" s="11"/>
      <c r="H29" s="11"/>
      <c r="I29" s="18"/>
      <c r="J29" s="11"/>
      <c r="K29" s="11"/>
      <c r="L29" s="12">
        <v>6395.1</v>
      </c>
      <c r="M29" s="25">
        <v>6395.1</v>
      </c>
      <c r="N29" s="26">
        <f>L29-M29</f>
        <v>0</v>
      </c>
      <c r="O29" s="26">
        <v>0</v>
      </c>
      <c r="P29" s="26">
        <f t="shared" si="3"/>
        <v>0</v>
      </c>
      <c r="Q29" s="26">
        <v>0</v>
      </c>
      <c r="R29" s="26">
        <f t="shared" si="1"/>
        <v>0</v>
      </c>
      <c r="S29" s="26">
        <v>0</v>
      </c>
      <c r="T29" s="27">
        <f t="shared" si="2"/>
        <v>0</v>
      </c>
    </row>
    <row r="30" spans="1:20" s="1" customFormat="1">
      <c r="A30" s="3">
        <v>4005</v>
      </c>
      <c r="B30" s="3" t="s">
        <v>173</v>
      </c>
      <c r="C30" s="10">
        <v>16245</v>
      </c>
      <c r="D30" s="10"/>
      <c r="E30" s="11"/>
      <c r="F30" s="18"/>
      <c r="G30" s="11"/>
      <c r="H30" s="11"/>
      <c r="I30" s="18"/>
      <c r="J30" s="11"/>
      <c r="K30" s="11"/>
      <c r="L30" s="12">
        <v>16245</v>
      </c>
      <c r="M30" s="25">
        <v>16245</v>
      </c>
      <c r="N30" s="26">
        <f>L30-M30</f>
        <v>0</v>
      </c>
      <c r="O30" s="26">
        <v>0</v>
      </c>
      <c r="P30" s="26">
        <f t="shared" si="3"/>
        <v>0</v>
      </c>
      <c r="Q30" s="26">
        <v>0</v>
      </c>
      <c r="R30" s="26">
        <f t="shared" si="1"/>
        <v>0</v>
      </c>
      <c r="S30" s="26">
        <v>0</v>
      </c>
      <c r="T30" s="27">
        <f t="shared" si="2"/>
        <v>0</v>
      </c>
    </row>
    <row r="31" spans="1:20" s="1" customFormat="1">
      <c r="A31" s="3">
        <v>4131</v>
      </c>
      <c r="B31" s="3" t="s">
        <v>166</v>
      </c>
      <c r="C31" s="10">
        <v>17470.400000000001</v>
      </c>
      <c r="D31" s="10"/>
      <c r="E31" s="11"/>
      <c r="F31" s="18"/>
      <c r="G31" s="11"/>
      <c r="H31" s="11"/>
      <c r="I31" s="18"/>
      <c r="J31" s="11"/>
      <c r="K31" s="11">
        <v>-273.42</v>
      </c>
      <c r="L31" s="12">
        <v>17196.980000000003</v>
      </c>
      <c r="M31" s="25">
        <v>17470.400000000001</v>
      </c>
      <c r="N31" s="26">
        <f>L31-M31</f>
        <v>-273.41999999999825</v>
      </c>
      <c r="O31" s="26">
        <v>0</v>
      </c>
      <c r="P31" s="26">
        <f t="shared" si="3"/>
        <v>0</v>
      </c>
      <c r="Q31" s="26">
        <v>0</v>
      </c>
      <c r="R31" s="26">
        <f>K31+Q31</f>
        <v>-273.42</v>
      </c>
      <c r="S31" s="26">
        <v>273.42</v>
      </c>
      <c r="T31" s="27">
        <f t="shared" si="2"/>
        <v>-273.42</v>
      </c>
    </row>
    <row r="32" spans="1:20" s="1" customFormat="1">
      <c r="A32" s="3">
        <v>4296</v>
      </c>
      <c r="B32" s="3" t="s">
        <v>198</v>
      </c>
      <c r="C32" s="10">
        <v>11152.5</v>
      </c>
      <c r="D32" s="10"/>
      <c r="E32" s="11"/>
      <c r="F32" s="18"/>
      <c r="G32" s="11"/>
      <c r="H32" s="11"/>
      <c r="I32" s="18"/>
      <c r="J32" s="11"/>
      <c r="K32" s="11"/>
      <c r="L32" s="12">
        <v>11152.5</v>
      </c>
      <c r="M32" s="25">
        <v>11152.5</v>
      </c>
      <c r="N32" s="26">
        <f>L32-M32</f>
        <v>0</v>
      </c>
      <c r="O32" s="26">
        <v>0</v>
      </c>
      <c r="P32" s="26">
        <f t="shared" si="3"/>
        <v>0</v>
      </c>
      <c r="Q32" s="26">
        <v>0</v>
      </c>
      <c r="R32" s="26">
        <f t="shared" si="1"/>
        <v>0</v>
      </c>
      <c r="S32" s="26">
        <v>0</v>
      </c>
      <c r="T32" s="27">
        <f t="shared" si="2"/>
        <v>0</v>
      </c>
    </row>
    <row r="33" spans="1:20" s="1" customFormat="1">
      <c r="A33" s="3">
        <v>4434</v>
      </c>
      <c r="B33" s="3" t="s">
        <v>92</v>
      </c>
      <c r="C33" s="10">
        <v>65868.77</v>
      </c>
      <c r="D33" s="10"/>
      <c r="E33" s="11"/>
      <c r="F33" s="18"/>
      <c r="G33" s="11"/>
      <c r="H33" s="11"/>
      <c r="I33" s="18">
        <v>-213.12</v>
      </c>
      <c r="J33" s="11"/>
      <c r="K33" s="11"/>
      <c r="L33" s="12">
        <v>65655.650000000009</v>
      </c>
      <c r="M33" s="25">
        <v>64899.25</v>
      </c>
      <c r="N33" s="26">
        <f>L33-M33</f>
        <v>756.40000000000873</v>
      </c>
      <c r="O33" s="26">
        <v>0</v>
      </c>
      <c r="P33" s="26">
        <f t="shared" si="3"/>
        <v>0</v>
      </c>
      <c r="Q33" s="26">
        <v>0</v>
      </c>
      <c r="R33" s="26">
        <f t="shared" si="1"/>
        <v>0</v>
      </c>
      <c r="S33" s="26">
        <v>0</v>
      </c>
      <c r="T33" s="27">
        <f t="shared" si="2"/>
        <v>0</v>
      </c>
    </row>
    <row r="34" spans="1:20" s="1" customFormat="1">
      <c r="A34" s="3">
        <v>4444</v>
      </c>
      <c r="B34" s="3" t="s">
        <v>128</v>
      </c>
      <c r="C34" s="10">
        <v>980</v>
      </c>
      <c r="D34" s="10">
        <v>30725</v>
      </c>
      <c r="E34" s="11"/>
      <c r="F34" s="18"/>
      <c r="G34" s="11"/>
      <c r="H34" s="11"/>
      <c r="I34" s="18"/>
      <c r="J34" s="11"/>
      <c r="K34" s="11"/>
      <c r="L34" s="12">
        <v>31705</v>
      </c>
      <c r="M34" s="25">
        <v>31705</v>
      </c>
      <c r="N34" s="26">
        <f>L34-M34</f>
        <v>0</v>
      </c>
      <c r="O34" s="26">
        <v>0</v>
      </c>
      <c r="P34" s="26">
        <f t="shared" si="3"/>
        <v>0</v>
      </c>
      <c r="Q34" s="26">
        <v>0</v>
      </c>
      <c r="R34" s="26">
        <f t="shared" si="1"/>
        <v>0</v>
      </c>
      <c r="S34" s="26">
        <v>0</v>
      </c>
      <c r="T34" s="27">
        <f t="shared" si="2"/>
        <v>0</v>
      </c>
    </row>
    <row r="35" spans="1:20" s="1" customFormat="1">
      <c r="A35" s="3">
        <v>4488</v>
      </c>
      <c r="B35" s="3" t="s">
        <v>98</v>
      </c>
      <c r="C35" s="10">
        <v>66355.199999999997</v>
      </c>
      <c r="D35" s="10"/>
      <c r="E35" s="11"/>
      <c r="F35" s="18"/>
      <c r="G35" s="11"/>
      <c r="H35" s="11"/>
      <c r="I35" s="18"/>
      <c r="J35" s="11">
        <v>-9698.7000000000007</v>
      </c>
      <c r="K35" s="11"/>
      <c r="L35" s="12">
        <v>56656.5</v>
      </c>
      <c r="M35" s="25">
        <v>54353.1</v>
      </c>
      <c r="N35" s="26">
        <f>L35-M35</f>
        <v>2303.4000000000015</v>
      </c>
      <c r="O35" s="26">
        <v>9453.4599999999991</v>
      </c>
      <c r="P35" s="26">
        <f t="shared" si="3"/>
        <v>-245.2400000000016</v>
      </c>
      <c r="Q35" s="26">
        <v>0</v>
      </c>
      <c r="R35" s="26">
        <f t="shared" si="1"/>
        <v>0</v>
      </c>
      <c r="S35" s="26">
        <v>0</v>
      </c>
      <c r="T35" s="27">
        <f t="shared" si="2"/>
        <v>0</v>
      </c>
    </row>
    <row r="36" spans="1:20" s="1" customFormat="1">
      <c r="A36" s="3">
        <v>4591</v>
      </c>
      <c r="B36" s="3" t="s">
        <v>209</v>
      </c>
      <c r="C36" s="10">
        <v>10020.209999999999</v>
      </c>
      <c r="D36" s="10"/>
      <c r="E36" s="11"/>
      <c r="F36" s="18"/>
      <c r="G36" s="11"/>
      <c r="H36" s="11"/>
      <c r="I36" s="18"/>
      <c r="J36" s="11">
        <v>-274.44</v>
      </c>
      <c r="K36" s="11"/>
      <c r="L36" s="12">
        <v>9745.7699999999986</v>
      </c>
      <c r="M36" s="25">
        <v>9704.7999999999993</v>
      </c>
      <c r="N36" s="26">
        <f>L36-M36</f>
        <v>40.969999999999345</v>
      </c>
      <c r="O36" s="26">
        <v>274.44</v>
      </c>
      <c r="P36" s="26">
        <f t="shared" si="3"/>
        <v>0</v>
      </c>
      <c r="Q36" s="26">
        <v>0</v>
      </c>
      <c r="R36" s="26">
        <f t="shared" si="1"/>
        <v>0</v>
      </c>
      <c r="S36" s="26">
        <v>0</v>
      </c>
      <c r="T36" s="27">
        <f t="shared" si="2"/>
        <v>0</v>
      </c>
    </row>
    <row r="37" spans="1:20" s="1" customFormat="1">
      <c r="A37" s="3">
        <v>4751</v>
      </c>
      <c r="B37" s="3" t="s">
        <v>108</v>
      </c>
      <c r="C37" s="10">
        <v>44534.8</v>
      </c>
      <c r="D37" s="10"/>
      <c r="E37" s="11"/>
      <c r="F37" s="18"/>
      <c r="G37" s="11"/>
      <c r="H37" s="11"/>
      <c r="I37" s="18"/>
      <c r="J37" s="11"/>
      <c r="K37" s="11"/>
      <c r="L37" s="12">
        <v>44534.8</v>
      </c>
      <c r="M37" s="25">
        <v>44534.8</v>
      </c>
      <c r="N37" s="26">
        <f>L37-M37</f>
        <v>0</v>
      </c>
      <c r="O37" s="26">
        <v>0</v>
      </c>
      <c r="P37" s="26">
        <f t="shared" si="3"/>
        <v>0</v>
      </c>
      <c r="Q37" s="26">
        <v>0</v>
      </c>
      <c r="R37" s="26">
        <f t="shared" si="1"/>
        <v>0</v>
      </c>
      <c r="S37" s="26">
        <v>0</v>
      </c>
      <c r="T37" s="27">
        <f t="shared" si="2"/>
        <v>0</v>
      </c>
    </row>
    <row r="38" spans="1:20" s="1" customFormat="1">
      <c r="A38" s="3">
        <v>4879</v>
      </c>
      <c r="B38" s="3" t="s">
        <v>153</v>
      </c>
      <c r="C38" s="10">
        <v>22648.31</v>
      </c>
      <c r="D38" s="10"/>
      <c r="E38" s="11"/>
      <c r="F38" s="18"/>
      <c r="G38" s="11"/>
      <c r="H38" s="11"/>
      <c r="I38" s="18"/>
      <c r="J38" s="11">
        <v>-213.58</v>
      </c>
      <c r="K38" s="11"/>
      <c r="L38" s="12">
        <v>22434.73</v>
      </c>
      <c r="M38" s="25">
        <v>22648.31</v>
      </c>
      <c r="N38" s="26">
        <f>L38-M38</f>
        <v>-213.58000000000175</v>
      </c>
      <c r="O38" s="26">
        <v>213.58</v>
      </c>
      <c r="P38" s="26">
        <f t="shared" si="3"/>
        <v>0</v>
      </c>
      <c r="Q38" s="26">
        <v>0</v>
      </c>
      <c r="R38" s="26">
        <f t="shared" si="1"/>
        <v>0</v>
      </c>
      <c r="S38" s="26">
        <v>0</v>
      </c>
      <c r="T38" s="27">
        <f t="shared" si="2"/>
        <v>0</v>
      </c>
    </row>
    <row r="39" spans="1:20" s="1" customFormat="1">
      <c r="A39" s="3">
        <v>4959</v>
      </c>
      <c r="B39" s="3" t="s">
        <v>71</v>
      </c>
      <c r="C39" s="10">
        <v>95256</v>
      </c>
      <c r="D39" s="10"/>
      <c r="E39" s="11"/>
      <c r="F39" s="18"/>
      <c r="G39" s="11"/>
      <c r="H39" s="11"/>
      <c r="I39" s="18"/>
      <c r="J39" s="11"/>
      <c r="K39" s="11"/>
      <c r="L39" s="12">
        <v>95256</v>
      </c>
      <c r="M39" s="25">
        <v>95256</v>
      </c>
      <c r="N39" s="26">
        <f>L39-M39</f>
        <v>0</v>
      </c>
      <c r="O39" s="26">
        <v>0</v>
      </c>
      <c r="P39" s="26">
        <f t="shared" si="3"/>
        <v>0</v>
      </c>
      <c r="Q39" s="26">
        <v>756</v>
      </c>
      <c r="R39" s="26">
        <f t="shared" si="1"/>
        <v>756</v>
      </c>
      <c r="S39" s="26">
        <v>0</v>
      </c>
      <c r="T39" s="27">
        <f t="shared" si="2"/>
        <v>0</v>
      </c>
    </row>
    <row r="40" spans="1:20" s="1" customFormat="1">
      <c r="A40" s="3">
        <v>4968</v>
      </c>
      <c r="B40" s="3" t="s">
        <v>101</v>
      </c>
      <c r="C40" s="10">
        <v>52388.639999999999</v>
      </c>
      <c r="D40" s="10"/>
      <c r="E40" s="11"/>
      <c r="F40" s="18"/>
      <c r="G40" s="11"/>
      <c r="H40" s="11"/>
      <c r="I40" s="18"/>
      <c r="J40" s="11"/>
      <c r="K40" s="11"/>
      <c r="L40" s="12">
        <v>52388.639999999999</v>
      </c>
      <c r="M40" s="25">
        <v>52388.639999999999</v>
      </c>
      <c r="N40" s="26">
        <f>L40-M40</f>
        <v>0</v>
      </c>
      <c r="O40" s="26">
        <v>0</v>
      </c>
      <c r="P40" s="26">
        <f t="shared" si="3"/>
        <v>0</v>
      </c>
      <c r="Q40" s="26">
        <v>0</v>
      </c>
      <c r="R40" s="26">
        <f t="shared" si="1"/>
        <v>0</v>
      </c>
      <c r="S40" s="26">
        <v>0</v>
      </c>
      <c r="T40" s="27">
        <f t="shared" si="2"/>
        <v>0</v>
      </c>
    </row>
    <row r="41" spans="1:20" s="1" customFormat="1">
      <c r="A41" s="3">
        <v>4983</v>
      </c>
      <c r="B41" s="3" t="s">
        <v>254</v>
      </c>
      <c r="C41" s="10">
        <v>3281.04</v>
      </c>
      <c r="D41" s="10"/>
      <c r="E41" s="11"/>
      <c r="F41" s="18"/>
      <c r="G41" s="11"/>
      <c r="H41" s="11"/>
      <c r="I41" s="18"/>
      <c r="J41" s="11">
        <v>-78.12</v>
      </c>
      <c r="K41" s="11">
        <v>-162.75</v>
      </c>
      <c r="L41" s="12">
        <v>3040.17</v>
      </c>
      <c r="M41" s="25">
        <v>3281.04</v>
      </c>
      <c r="N41" s="26">
        <f>L41-M41</f>
        <v>-240.86999999999989</v>
      </c>
      <c r="O41" s="26">
        <v>78.12</v>
      </c>
      <c r="P41" s="26">
        <f t="shared" si="3"/>
        <v>0</v>
      </c>
      <c r="Q41" s="26">
        <v>0</v>
      </c>
      <c r="R41" s="26">
        <f t="shared" si="1"/>
        <v>-162.75</v>
      </c>
      <c r="S41" s="26">
        <v>162.75</v>
      </c>
      <c r="T41" s="27">
        <f t="shared" si="2"/>
        <v>-162.75</v>
      </c>
    </row>
    <row r="42" spans="1:20" s="1" customFormat="1">
      <c r="A42" s="3">
        <v>5323</v>
      </c>
      <c r="B42" s="3" t="s">
        <v>131</v>
      </c>
      <c r="C42" s="10">
        <v>28700</v>
      </c>
      <c r="D42" s="10"/>
      <c r="E42" s="11"/>
      <c r="F42" s="18"/>
      <c r="G42" s="11"/>
      <c r="H42" s="11"/>
      <c r="I42" s="18">
        <v>-174</v>
      </c>
      <c r="J42" s="11"/>
      <c r="K42" s="11"/>
      <c r="L42" s="12">
        <v>28526</v>
      </c>
      <c r="M42" s="25">
        <v>28700</v>
      </c>
      <c r="N42" s="26">
        <f>L42-M42</f>
        <v>-174</v>
      </c>
      <c r="O42" s="26">
        <v>0</v>
      </c>
      <c r="P42" s="26">
        <f t="shared" si="3"/>
        <v>0</v>
      </c>
      <c r="Q42" s="26">
        <v>0</v>
      </c>
      <c r="R42" s="26">
        <f t="shared" si="1"/>
        <v>0</v>
      </c>
      <c r="S42" s="26">
        <v>0</v>
      </c>
      <c r="T42" s="27">
        <f t="shared" si="2"/>
        <v>0</v>
      </c>
    </row>
    <row r="43" spans="1:20" s="1" customFormat="1">
      <c r="A43" s="3">
        <v>5528</v>
      </c>
      <c r="B43" s="3" t="s">
        <v>62</v>
      </c>
      <c r="C43" s="10">
        <v>121773.34</v>
      </c>
      <c r="D43" s="10"/>
      <c r="E43" s="11"/>
      <c r="F43" s="18"/>
      <c r="G43" s="11"/>
      <c r="H43" s="11"/>
      <c r="I43" s="18"/>
      <c r="J43" s="11"/>
      <c r="K43" s="11"/>
      <c r="L43" s="12">
        <v>121773.34</v>
      </c>
      <c r="M43" s="25">
        <v>121773.34</v>
      </c>
      <c r="N43" s="26">
        <f>L43-M43</f>
        <v>0</v>
      </c>
      <c r="O43" s="26">
        <v>0</v>
      </c>
      <c r="P43" s="26">
        <f t="shared" si="3"/>
        <v>0</v>
      </c>
      <c r="Q43" s="26">
        <v>0</v>
      </c>
      <c r="R43" s="26">
        <f t="shared" si="1"/>
        <v>0</v>
      </c>
      <c r="S43" s="26">
        <v>0</v>
      </c>
      <c r="T43" s="27">
        <f t="shared" si="2"/>
        <v>0</v>
      </c>
    </row>
    <row r="44" spans="1:20" s="1" customFormat="1">
      <c r="A44" s="3">
        <v>5595</v>
      </c>
      <c r="B44" s="3" t="s">
        <v>199</v>
      </c>
      <c r="C44" s="10">
        <v>11173.74</v>
      </c>
      <c r="D44" s="10"/>
      <c r="E44" s="11"/>
      <c r="F44" s="18"/>
      <c r="G44" s="11"/>
      <c r="H44" s="11"/>
      <c r="I44" s="18"/>
      <c r="J44" s="11">
        <v>-515.03</v>
      </c>
      <c r="K44" s="11"/>
      <c r="L44" s="12">
        <v>10658.71</v>
      </c>
      <c r="M44" s="25">
        <v>11105.01</v>
      </c>
      <c r="N44" s="26">
        <f>L44-M44</f>
        <v>-446.30000000000109</v>
      </c>
      <c r="O44" s="26">
        <v>515.03</v>
      </c>
      <c r="P44" s="26">
        <f t="shared" si="3"/>
        <v>0</v>
      </c>
      <c r="Q44" s="26">
        <v>0</v>
      </c>
      <c r="R44" s="26">
        <f t="shared" si="1"/>
        <v>0</v>
      </c>
      <c r="S44" s="26">
        <v>0</v>
      </c>
      <c r="T44" s="27">
        <f t="shared" si="2"/>
        <v>0</v>
      </c>
    </row>
    <row r="45" spans="1:20" s="1" customFormat="1">
      <c r="A45" s="3">
        <v>5666</v>
      </c>
      <c r="B45" s="3" t="s">
        <v>236</v>
      </c>
      <c r="C45" s="10">
        <v>5560.71</v>
      </c>
      <c r="D45" s="10"/>
      <c r="E45" s="11"/>
      <c r="F45" s="18"/>
      <c r="G45" s="11"/>
      <c r="H45" s="11"/>
      <c r="I45" s="18"/>
      <c r="J45" s="11"/>
      <c r="K45" s="11"/>
      <c r="L45" s="12">
        <v>5560.71</v>
      </c>
      <c r="M45" s="25">
        <v>5385.68</v>
      </c>
      <c r="N45" s="26">
        <f>L45-M45</f>
        <v>175.02999999999975</v>
      </c>
      <c r="O45" s="26">
        <v>0</v>
      </c>
      <c r="P45" s="26">
        <f t="shared" si="3"/>
        <v>0</v>
      </c>
      <c r="Q45" s="26">
        <v>468.16</v>
      </c>
      <c r="R45" s="26">
        <f t="shared" si="1"/>
        <v>468.16</v>
      </c>
      <c r="S45" s="26">
        <v>0</v>
      </c>
      <c r="T45" s="27">
        <f t="shared" si="2"/>
        <v>0</v>
      </c>
    </row>
    <row r="46" spans="1:20" s="1" customFormat="1">
      <c r="A46" s="3">
        <v>5714</v>
      </c>
      <c r="B46" s="3" t="s">
        <v>91</v>
      </c>
      <c r="C46" s="10">
        <v>71989.2</v>
      </c>
      <c r="D46" s="10"/>
      <c r="E46" s="11"/>
      <c r="F46" s="18"/>
      <c r="G46" s="11"/>
      <c r="H46" s="11"/>
      <c r="I46" s="18"/>
      <c r="J46" s="11">
        <v>-2040.21</v>
      </c>
      <c r="K46" s="11"/>
      <c r="L46" s="12">
        <v>69948.989999999991</v>
      </c>
      <c r="M46" s="25">
        <v>71989.2</v>
      </c>
      <c r="N46" s="26">
        <f>L46-M46</f>
        <v>-2040.2100000000064</v>
      </c>
      <c r="O46" s="26">
        <v>2040.21</v>
      </c>
      <c r="P46" s="26">
        <f t="shared" si="3"/>
        <v>0</v>
      </c>
      <c r="Q46" s="26">
        <v>0</v>
      </c>
      <c r="R46" s="26">
        <f t="shared" si="1"/>
        <v>0</v>
      </c>
      <c r="S46" s="26">
        <v>0</v>
      </c>
      <c r="T46" s="27">
        <f t="shared" si="2"/>
        <v>0</v>
      </c>
    </row>
    <row r="47" spans="1:20" s="1" customFormat="1">
      <c r="A47" s="3">
        <v>5739</v>
      </c>
      <c r="B47" s="3" t="s">
        <v>47</v>
      </c>
      <c r="C47" s="10">
        <v>152000</v>
      </c>
      <c r="D47" s="10"/>
      <c r="E47" s="11"/>
      <c r="F47" s="18"/>
      <c r="G47" s="11"/>
      <c r="H47" s="11"/>
      <c r="I47" s="18"/>
      <c r="J47" s="11"/>
      <c r="K47" s="11">
        <v>-564.97</v>
      </c>
      <c r="L47" s="12">
        <v>151435.03</v>
      </c>
      <c r="M47" s="25">
        <v>152000</v>
      </c>
      <c r="N47" s="26">
        <f>L47-M47</f>
        <v>-564.97000000000116</v>
      </c>
      <c r="O47" s="26">
        <v>0</v>
      </c>
      <c r="P47" s="26">
        <f t="shared" si="3"/>
        <v>0</v>
      </c>
      <c r="Q47" s="26">
        <v>0</v>
      </c>
      <c r="R47" s="26">
        <f t="shared" si="1"/>
        <v>-564.97</v>
      </c>
      <c r="S47" s="26">
        <v>564.97</v>
      </c>
      <c r="T47" s="27">
        <f t="shared" si="2"/>
        <v>-564.97</v>
      </c>
    </row>
    <row r="48" spans="1:20" s="1" customFormat="1">
      <c r="A48" s="3">
        <v>5791</v>
      </c>
      <c r="B48" s="3" t="s">
        <v>45</v>
      </c>
      <c r="C48" s="10">
        <v>157536.54999999999</v>
      </c>
      <c r="D48" s="10"/>
      <c r="E48" s="11"/>
      <c r="F48" s="18"/>
      <c r="G48" s="11"/>
      <c r="H48" s="11"/>
      <c r="I48" s="18"/>
      <c r="J48" s="11"/>
      <c r="K48" s="11"/>
      <c r="L48" s="12">
        <v>157536.54999999999</v>
      </c>
      <c r="M48" s="25">
        <v>157852.07999999999</v>
      </c>
      <c r="N48" s="26">
        <f>L48-M48</f>
        <v>-315.52999999999884</v>
      </c>
      <c r="O48" s="26">
        <v>0</v>
      </c>
      <c r="P48" s="26">
        <f t="shared" si="3"/>
        <v>0</v>
      </c>
      <c r="Q48" s="26">
        <v>0</v>
      </c>
      <c r="R48" s="26">
        <f t="shared" si="1"/>
        <v>0</v>
      </c>
      <c r="S48" s="26">
        <v>0</v>
      </c>
      <c r="T48" s="27">
        <f t="shared" si="2"/>
        <v>0</v>
      </c>
    </row>
    <row r="49" spans="1:20" s="1" customFormat="1">
      <c r="A49" s="3">
        <v>5860</v>
      </c>
      <c r="B49" s="3" t="s">
        <v>178</v>
      </c>
      <c r="C49" s="10">
        <v>16050</v>
      </c>
      <c r="D49" s="10"/>
      <c r="E49" s="11"/>
      <c r="F49" s="18"/>
      <c r="G49" s="11"/>
      <c r="H49" s="11"/>
      <c r="I49" s="18"/>
      <c r="J49" s="11">
        <v>-571.29999999999995</v>
      </c>
      <c r="K49" s="11"/>
      <c r="L49" s="12">
        <v>15478.7</v>
      </c>
      <c r="M49" s="25">
        <v>16050</v>
      </c>
      <c r="N49" s="26">
        <f>L49-M49</f>
        <v>-571.29999999999927</v>
      </c>
      <c r="O49" s="26">
        <v>571.29999999999995</v>
      </c>
      <c r="P49" s="26">
        <f t="shared" si="3"/>
        <v>0</v>
      </c>
      <c r="Q49" s="26">
        <v>0</v>
      </c>
      <c r="R49" s="26">
        <f t="shared" si="1"/>
        <v>0</v>
      </c>
      <c r="S49" s="26">
        <v>0</v>
      </c>
      <c r="T49" s="27">
        <f t="shared" si="2"/>
        <v>0</v>
      </c>
    </row>
    <row r="50" spans="1:20" s="1" customFormat="1">
      <c r="A50" s="3">
        <v>5866</v>
      </c>
      <c r="B50" s="3" t="s">
        <v>208</v>
      </c>
      <c r="C50" s="10">
        <v>9827.77</v>
      </c>
      <c r="D50" s="10"/>
      <c r="E50" s="11"/>
      <c r="F50" s="18"/>
      <c r="G50" s="11"/>
      <c r="H50" s="11"/>
      <c r="I50" s="18"/>
      <c r="J50" s="11"/>
      <c r="K50" s="11"/>
      <c r="L50" s="12">
        <v>9827.77</v>
      </c>
      <c r="M50" s="25">
        <v>9781.2000000000007</v>
      </c>
      <c r="N50" s="26">
        <f>L50-M50</f>
        <v>46.569999999999709</v>
      </c>
      <c r="O50" s="26">
        <v>0</v>
      </c>
      <c r="P50" s="26">
        <f t="shared" si="3"/>
        <v>0</v>
      </c>
      <c r="Q50" s="26">
        <v>518.4</v>
      </c>
      <c r="R50" s="26">
        <f t="shared" si="1"/>
        <v>518.4</v>
      </c>
      <c r="S50" s="26">
        <v>0</v>
      </c>
      <c r="T50" s="27">
        <f t="shared" si="2"/>
        <v>0</v>
      </c>
    </row>
    <row r="51" spans="1:20" s="1" customFormat="1">
      <c r="A51" s="3">
        <v>5894</v>
      </c>
      <c r="B51" s="3" t="s">
        <v>15</v>
      </c>
      <c r="C51" s="10">
        <v>613312.01</v>
      </c>
      <c r="D51" s="10"/>
      <c r="E51" s="11"/>
      <c r="F51" s="18"/>
      <c r="G51" s="11"/>
      <c r="H51" s="11"/>
      <c r="I51" s="18"/>
      <c r="J51" s="11">
        <v>-5509.02</v>
      </c>
      <c r="K51" s="11">
        <v>-1429.03</v>
      </c>
      <c r="L51" s="12">
        <v>606373.96</v>
      </c>
      <c r="M51" s="25">
        <v>613412.47000000009</v>
      </c>
      <c r="N51" s="26">
        <f>L51-M51</f>
        <v>-7038.5100000001257</v>
      </c>
      <c r="O51" s="26">
        <v>5509.02</v>
      </c>
      <c r="P51" s="26">
        <f t="shared" si="3"/>
        <v>0</v>
      </c>
      <c r="Q51" s="26">
        <v>6484.75</v>
      </c>
      <c r="R51" s="26">
        <f t="shared" si="1"/>
        <v>5055.72</v>
      </c>
      <c r="S51" s="26">
        <v>1429.0300000000002</v>
      </c>
      <c r="T51" s="27">
        <f t="shared" si="2"/>
        <v>-1429.0300000000002</v>
      </c>
    </row>
    <row r="52" spans="1:20" s="1" customFormat="1">
      <c r="A52" s="3">
        <v>5988</v>
      </c>
      <c r="B52" s="3" t="s">
        <v>233</v>
      </c>
      <c r="C52" s="10">
        <v>5805.39</v>
      </c>
      <c r="D52" s="10"/>
      <c r="E52" s="11"/>
      <c r="F52" s="18"/>
      <c r="G52" s="11"/>
      <c r="H52" s="11"/>
      <c r="I52" s="18"/>
      <c r="J52" s="11"/>
      <c r="K52" s="11"/>
      <c r="L52" s="12">
        <v>5805.39</v>
      </c>
      <c r="M52" s="25">
        <v>6054.51</v>
      </c>
      <c r="N52" s="26">
        <f>L52-M52</f>
        <v>-249.11999999999989</v>
      </c>
      <c r="O52" s="26">
        <v>0</v>
      </c>
      <c r="P52" s="26">
        <f t="shared" si="3"/>
        <v>0</v>
      </c>
      <c r="Q52" s="26">
        <v>0</v>
      </c>
      <c r="R52" s="26">
        <f t="shared" si="1"/>
        <v>0</v>
      </c>
      <c r="S52" s="26">
        <v>0</v>
      </c>
      <c r="T52" s="27">
        <f t="shared" si="2"/>
        <v>0</v>
      </c>
    </row>
    <row r="53" spans="1:20" s="1" customFormat="1">
      <c r="A53" s="3">
        <v>6158</v>
      </c>
      <c r="B53" s="3" t="s">
        <v>21</v>
      </c>
      <c r="C53" s="10">
        <v>324525</v>
      </c>
      <c r="D53" s="10"/>
      <c r="E53" s="11"/>
      <c r="F53" s="18"/>
      <c r="G53" s="11"/>
      <c r="H53" s="11"/>
      <c r="I53" s="18"/>
      <c r="J53" s="11">
        <v>-3000</v>
      </c>
      <c r="K53" s="11"/>
      <c r="L53" s="12">
        <v>321525</v>
      </c>
      <c r="M53" s="25">
        <v>324525</v>
      </c>
      <c r="N53" s="26">
        <f>L53-M53</f>
        <v>-3000</v>
      </c>
      <c r="O53" s="26">
        <v>3000</v>
      </c>
      <c r="P53" s="26">
        <f t="shared" si="3"/>
        <v>0</v>
      </c>
      <c r="Q53" s="26">
        <v>0</v>
      </c>
      <c r="R53" s="26">
        <f t="shared" si="1"/>
        <v>0</v>
      </c>
      <c r="S53" s="26">
        <v>0</v>
      </c>
      <c r="T53" s="27">
        <f t="shared" si="2"/>
        <v>0</v>
      </c>
    </row>
    <row r="54" spans="1:20" s="1" customFormat="1">
      <c r="A54" s="3">
        <v>6189</v>
      </c>
      <c r="B54" s="3" t="s">
        <v>224</v>
      </c>
      <c r="C54" s="10">
        <v>6800</v>
      </c>
      <c r="D54" s="10"/>
      <c r="E54" s="11"/>
      <c r="F54" s="18"/>
      <c r="G54" s="11"/>
      <c r="H54" s="11"/>
      <c r="I54" s="18"/>
      <c r="J54" s="11">
        <v>-76</v>
      </c>
      <c r="K54" s="11">
        <v>-247.5</v>
      </c>
      <c r="L54" s="12">
        <v>6476.5</v>
      </c>
      <c r="M54" s="25">
        <v>6800</v>
      </c>
      <c r="N54" s="26">
        <f>L54-M54</f>
        <v>-323.5</v>
      </c>
      <c r="O54" s="26">
        <v>76</v>
      </c>
      <c r="P54" s="26">
        <f t="shared" si="3"/>
        <v>0</v>
      </c>
      <c r="Q54" s="26">
        <v>0</v>
      </c>
      <c r="R54" s="26">
        <f t="shared" si="1"/>
        <v>-247.5</v>
      </c>
      <c r="S54" s="26">
        <v>247.5</v>
      </c>
      <c r="T54" s="27">
        <f t="shared" si="2"/>
        <v>-247.5</v>
      </c>
    </row>
    <row r="55" spans="1:20" s="1" customFormat="1">
      <c r="A55" s="3">
        <v>6250</v>
      </c>
      <c r="B55" s="3" t="s">
        <v>273</v>
      </c>
      <c r="C55" s="10">
        <v>390</v>
      </c>
      <c r="D55" s="10"/>
      <c r="E55" s="11"/>
      <c r="F55" s="18"/>
      <c r="G55" s="11"/>
      <c r="H55" s="11"/>
      <c r="I55" s="18"/>
      <c r="J55" s="11"/>
      <c r="K55" s="11"/>
      <c r="L55" s="12">
        <v>390</v>
      </c>
      <c r="M55" s="25">
        <v>390</v>
      </c>
      <c r="N55" s="26">
        <f>L55-M55</f>
        <v>0</v>
      </c>
      <c r="O55" s="26">
        <v>0</v>
      </c>
      <c r="P55" s="26">
        <f t="shared" si="3"/>
        <v>0</v>
      </c>
      <c r="Q55" s="26">
        <v>0</v>
      </c>
      <c r="R55" s="26">
        <f t="shared" si="1"/>
        <v>0</v>
      </c>
      <c r="S55" s="26">
        <v>0</v>
      </c>
      <c r="T55" s="27">
        <f t="shared" si="2"/>
        <v>0</v>
      </c>
    </row>
    <row r="56" spans="1:20" s="1" customFormat="1">
      <c r="A56" s="3">
        <v>6309</v>
      </c>
      <c r="B56" s="3" t="s">
        <v>99</v>
      </c>
      <c r="C56" s="10">
        <v>45954.879999999997</v>
      </c>
      <c r="D56" s="10"/>
      <c r="E56" s="11"/>
      <c r="F56" s="18"/>
      <c r="G56" s="11"/>
      <c r="H56" s="11">
        <v>7433.92</v>
      </c>
      <c r="I56" s="18"/>
      <c r="J56" s="11">
        <v>-5776.51</v>
      </c>
      <c r="K56" s="11"/>
      <c r="L56" s="12">
        <v>47612.289999999994</v>
      </c>
      <c r="M56" s="25">
        <v>53388.800000000003</v>
      </c>
      <c r="N56" s="26">
        <f>L56-M56</f>
        <v>-5776.5100000000093</v>
      </c>
      <c r="O56" s="26">
        <v>4482.47</v>
      </c>
      <c r="P56" s="26">
        <f t="shared" si="3"/>
        <v>-1294.04</v>
      </c>
      <c r="Q56" s="26">
        <v>0</v>
      </c>
      <c r="R56" s="26">
        <f t="shared" si="1"/>
        <v>0</v>
      </c>
      <c r="S56" s="26">
        <v>0</v>
      </c>
      <c r="T56" s="27">
        <f t="shared" si="2"/>
        <v>0</v>
      </c>
    </row>
    <row r="57" spans="1:20" s="1" customFormat="1">
      <c r="A57" s="3">
        <v>6364</v>
      </c>
      <c r="B57" s="3" t="s">
        <v>215</v>
      </c>
      <c r="C57" s="10">
        <v>7879.99</v>
      </c>
      <c r="D57" s="10"/>
      <c r="E57" s="11"/>
      <c r="F57" s="18"/>
      <c r="G57" s="11"/>
      <c r="H57" s="11"/>
      <c r="I57" s="18"/>
      <c r="J57" s="11"/>
      <c r="K57" s="11"/>
      <c r="L57" s="12">
        <v>7879.99</v>
      </c>
      <c r="M57" s="25">
        <v>8612</v>
      </c>
      <c r="N57" s="26">
        <f>L57-M57</f>
        <v>-732.01000000000022</v>
      </c>
      <c r="O57" s="26">
        <v>0</v>
      </c>
      <c r="P57" s="26">
        <f t="shared" si="3"/>
        <v>0</v>
      </c>
      <c r="Q57" s="26">
        <v>0</v>
      </c>
      <c r="R57" s="26">
        <f t="shared" si="1"/>
        <v>0</v>
      </c>
      <c r="S57" s="26">
        <v>0</v>
      </c>
      <c r="T57" s="27">
        <f t="shared" si="2"/>
        <v>0</v>
      </c>
    </row>
    <row r="58" spans="1:20" s="1" customFormat="1">
      <c r="A58" s="3">
        <v>6394</v>
      </c>
      <c r="B58" s="3" t="s">
        <v>121</v>
      </c>
      <c r="C58" s="10">
        <v>36249</v>
      </c>
      <c r="D58" s="10"/>
      <c r="E58" s="11"/>
      <c r="F58" s="18"/>
      <c r="G58" s="11"/>
      <c r="H58" s="11"/>
      <c r="I58" s="18"/>
      <c r="J58" s="11">
        <v>-537.1</v>
      </c>
      <c r="K58" s="11"/>
      <c r="L58" s="12">
        <v>35711.9</v>
      </c>
      <c r="M58" s="25">
        <v>36249</v>
      </c>
      <c r="N58" s="26">
        <f>L58-M58</f>
        <v>-537.09999999999854</v>
      </c>
      <c r="O58" s="26">
        <v>537.1</v>
      </c>
      <c r="P58" s="26">
        <f t="shared" si="3"/>
        <v>0</v>
      </c>
      <c r="Q58" s="26">
        <v>0</v>
      </c>
      <c r="R58" s="26">
        <f t="shared" si="1"/>
        <v>0</v>
      </c>
      <c r="S58" s="26">
        <v>0</v>
      </c>
      <c r="T58" s="27">
        <f t="shared" si="2"/>
        <v>0</v>
      </c>
    </row>
    <row r="59" spans="1:20" s="1" customFormat="1">
      <c r="A59" s="3">
        <v>6424</v>
      </c>
      <c r="B59" s="3" t="s">
        <v>40</v>
      </c>
      <c r="C59" s="10">
        <v>204219.21</v>
      </c>
      <c r="D59" s="10"/>
      <c r="E59" s="11"/>
      <c r="F59" s="18"/>
      <c r="G59" s="11"/>
      <c r="H59" s="11"/>
      <c r="I59" s="18"/>
      <c r="J59" s="11">
        <v>-54.52</v>
      </c>
      <c r="K59" s="11"/>
      <c r="L59" s="12">
        <v>204164.69</v>
      </c>
      <c r="M59" s="25">
        <v>187304.27</v>
      </c>
      <c r="N59" s="26">
        <f>L59-M59</f>
        <v>16860.420000000013</v>
      </c>
      <c r="O59" s="26">
        <v>54.52</v>
      </c>
      <c r="P59" s="26">
        <f t="shared" si="3"/>
        <v>0</v>
      </c>
      <c r="Q59" s="26">
        <v>1468.96</v>
      </c>
      <c r="R59" s="26">
        <f t="shared" si="1"/>
        <v>1468.96</v>
      </c>
      <c r="S59" s="26">
        <v>0</v>
      </c>
      <c r="T59" s="27">
        <f t="shared" si="2"/>
        <v>0</v>
      </c>
    </row>
    <row r="60" spans="1:20" s="1" customFormat="1">
      <c r="A60" s="3">
        <v>6451</v>
      </c>
      <c r="B60" s="3" t="s">
        <v>34</v>
      </c>
      <c r="C60" s="10">
        <v>218784.34</v>
      </c>
      <c r="D60" s="10"/>
      <c r="E60" s="11"/>
      <c r="F60" s="18"/>
      <c r="G60" s="11"/>
      <c r="H60" s="11"/>
      <c r="I60" s="18"/>
      <c r="J60" s="11">
        <v>-261.91000000000003</v>
      </c>
      <c r="K60" s="11"/>
      <c r="L60" s="12">
        <v>218522.43</v>
      </c>
      <c r="M60" s="25">
        <v>208351.78</v>
      </c>
      <c r="N60" s="26">
        <f>L60-M60</f>
        <v>10170.649999999994</v>
      </c>
      <c r="O60" s="26">
        <v>261.91000000000003</v>
      </c>
      <c r="P60" s="26">
        <f t="shared" si="3"/>
        <v>0</v>
      </c>
      <c r="Q60" s="26">
        <v>0</v>
      </c>
      <c r="R60" s="26">
        <f t="shared" si="1"/>
        <v>0</v>
      </c>
      <c r="S60" s="26">
        <v>0</v>
      </c>
      <c r="T60" s="27">
        <f t="shared" si="2"/>
        <v>0</v>
      </c>
    </row>
    <row r="61" spans="1:20" s="1" customFormat="1">
      <c r="A61" s="3">
        <v>6485</v>
      </c>
      <c r="B61" s="3" t="s">
        <v>133</v>
      </c>
      <c r="C61" s="10">
        <v>29185.61</v>
      </c>
      <c r="D61" s="10"/>
      <c r="E61" s="11"/>
      <c r="F61" s="18"/>
      <c r="G61" s="11"/>
      <c r="H61" s="11"/>
      <c r="I61" s="18"/>
      <c r="J61" s="11"/>
      <c r="K61" s="11">
        <v>-2549.4899999999998</v>
      </c>
      <c r="L61" s="12">
        <v>26636.120000000003</v>
      </c>
      <c r="M61" s="25">
        <v>28340.75</v>
      </c>
      <c r="N61" s="26">
        <f>L61-M61</f>
        <v>-1704.6299999999974</v>
      </c>
      <c r="O61" s="26">
        <v>0</v>
      </c>
      <c r="P61" s="26">
        <f t="shared" si="3"/>
        <v>0</v>
      </c>
      <c r="Q61" s="26">
        <v>659.13</v>
      </c>
      <c r="R61" s="26">
        <f t="shared" si="1"/>
        <v>-1890.3599999999997</v>
      </c>
      <c r="S61" s="26">
        <v>2205.4499999999998</v>
      </c>
      <c r="T61" s="27">
        <f t="shared" si="2"/>
        <v>-2205.4499999999998</v>
      </c>
    </row>
    <row r="62" spans="1:20" s="1" customFormat="1">
      <c r="A62" s="3">
        <v>6486</v>
      </c>
      <c r="B62" s="3" t="s">
        <v>242</v>
      </c>
      <c r="C62" s="10">
        <v>4599.1000000000004</v>
      </c>
      <c r="D62" s="10"/>
      <c r="E62" s="11"/>
      <c r="F62" s="18"/>
      <c r="G62" s="11"/>
      <c r="H62" s="11"/>
      <c r="I62" s="18"/>
      <c r="J62" s="11"/>
      <c r="K62" s="11"/>
      <c r="L62" s="12">
        <v>4599.1000000000004</v>
      </c>
      <c r="M62" s="25">
        <v>4824.5</v>
      </c>
      <c r="N62" s="26">
        <f>L62-M62</f>
        <v>-225.39999999999964</v>
      </c>
      <c r="O62" s="26">
        <v>0</v>
      </c>
      <c r="P62" s="26">
        <f t="shared" si="3"/>
        <v>0</v>
      </c>
      <c r="Q62" s="26">
        <v>0</v>
      </c>
      <c r="R62" s="26">
        <f t="shared" si="1"/>
        <v>0</v>
      </c>
      <c r="S62" s="26">
        <v>0</v>
      </c>
      <c r="T62" s="27">
        <f t="shared" si="2"/>
        <v>0</v>
      </c>
    </row>
    <row r="63" spans="1:20" s="1" customFormat="1">
      <c r="A63" s="3">
        <v>6539</v>
      </c>
      <c r="B63" s="3" t="s">
        <v>116</v>
      </c>
      <c r="C63" s="10">
        <v>40730.870000000003</v>
      </c>
      <c r="D63" s="10"/>
      <c r="E63" s="11"/>
      <c r="F63" s="18"/>
      <c r="G63" s="11"/>
      <c r="H63" s="11"/>
      <c r="I63" s="18"/>
      <c r="J63" s="11">
        <v>-3970.05</v>
      </c>
      <c r="K63" s="11"/>
      <c r="L63" s="12">
        <v>36760.82</v>
      </c>
      <c r="M63" s="25">
        <v>40730.870000000003</v>
      </c>
      <c r="N63" s="26">
        <f>L63-M63</f>
        <v>-3970.0500000000029</v>
      </c>
      <c r="O63" s="26">
        <v>3970.05</v>
      </c>
      <c r="P63" s="26">
        <f t="shared" si="3"/>
        <v>0</v>
      </c>
      <c r="Q63" s="26">
        <v>0</v>
      </c>
      <c r="R63" s="26">
        <f t="shared" si="1"/>
        <v>0</v>
      </c>
      <c r="S63" s="26">
        <v>0</v>
      </c>
      <c r="T63" s="27">
        <f t="shared" si="2"/>
        <v>0</v>
      </c>
    </row>
    <row r="64" spans="1:20" s="1" customFormat="1">
      <c r="A64" s="3">
        <v>6560</v>
      </c>
      <c r="B64" s="3" t="s">
        <v>105</v>
      </c>
      <c r="C64" s="10">
        <v>48600</v>
      </c>
      <c r="D64" s="10"/>
      <c r="E64" s="11"/>
      <c r="F64" s="18"/>
      <c r="G64" s="11"/>
      <c r="H64" s="11"/>
      <c r="I64" s="18"/>
      <c r="J64" s="11"/>
      <c r="K64" s="11">
        <v>-999</v>
      </c>
      <c r="L64" s="12">
        <v>47601</v>
      </c>
      <c r="M64" s="25">
        <v>48600</v>
      </c>
      <c r="N64" s="26">
        <f>L64-M64</f>
        <v>-999</v>
      </c>
      <c r="O64" s="26">
        <v>0</v>
      </c>
      <c r="P64" s="26">
        <f t="shared" si="3"/>
        <v>0</v>
      </c>
      <c r="Q64" s="26">
        <v>0</v>
      </c>
      <c r="R64" s="26">
        <f t="shared" si="1"/>
        <v>-999</v>
      </c>
      <c r="S64" s="26">
        <v>999</v>
      </c>
      <c r="T64" s="27">
        <f t="shared" si="2"/>
        <v>-999</v>
      </c>
    </row>
    <row r="65" spans="1:20" s="1" customFormat="1">
      <c r="A65" s="3">
        <v>6567</v>
      </c>
      <c r="B65" s="3" t="s">
        <v>150</v>
      </c>
      <c r="C65" s="10">
        <v>28524.639999999999</v>
      </c>
      <c r="D65" s="10"/>
      <c r="E65" s="11"/>
      <c r="F65" s="18"/>
      <c r="G65" s="11"/>
      <c r="H65" s="11"/>
      <c r="I65" s="18"/>
      <c r="J65" s="11"/>
      <c r="K65" s="11"/>
      <c r="L65" s="12">
        <v>28524.639999999999</v>
      </c>
      <c r="M65" s="25">
        <v>23350.67</v>
      </c>
      <c r="N65" s="26">
        <f>L65-M65</f>
        <v>5173.9700000000012</v>
      </c>
      <c r="O65" s="26">
        <v>0</v>
      </c>
      <c r="P65" s="26">
        <f t="shared" si="3"/>
        <v>0</v>
      </c>
      <c r="Q65" s="26">
        <v>0</v>
      </c>
      <c r="R65" s="26">
        <f t="shared" si="1"/>
        <v>0</v>
      </c>
      <c r="S65" s="26">
        <v>0</v>
      </c>
      <c r="T65" s="27">
        <f t="shared" si="2"/>
        <v>0</v>
      </c>
    </row>
    <row r="66" spans="1:20" s="1" customFormat="1">
      <c r="A66" s="3">
        <v>6634</v>
      </c>
      <c r="B66" s="3" t="s">
        <v>275</v>
      </c>
      <c r="C66" s="10"/>
      <c r="D66" s="10"/>
      <c r="E66" s="11"/>
      <c r="F66" s="18"/>
      <c r="G66" s="11">
        <v>143.5</v>
      </c>
      <c r="H66" s="11"/>
      <c r="I66" s="18"/>
      <c r="J66" s="11"/>
      <c r="K66" s="11"/>
      <c r="L66" s="12">
        <v>143.5</v>
      </c>
      <c r="M66" s="25">
        <v>143.5</v>
      </c>
      <c r="N66" s="26">
        <f>L66-M66</f>
        <v>0</v>
      </c>
      <c r="O66" s="26">
        <v>0</v>
      </c>
      <c r="P66" s="26">
        <f t="shared" si="3"/>
        <v>0</v>
      </c>
      <c r="Q66" s="26">
        <v>0</v>
      </c>
      <c r="R66" s="26">
        <f t="shared" si="1"/>
        <v>0</v>
      </c>
      <c r="S66" s="26">
        <v>0</v>
      </c>
      <c r="T66" s="27">
        <f t="shared" si="2"/>
        <v>0</v>
      </c>
    </row>
    <row r="67" spans="1:20" s="1" customFormat="1">
      <c r="A67" s="3">
        <v>6644</v>
      </c>
      <c r="B67" s="3" t="s">
        <v>42</v>
      </c>
      <c r="C67" s="10">
        <v>297911.01</v>
      </c>
      <c r="D67" s="10"/>
      <c r="E67" s="11"/>
      <c r="F67" s="18"/>
      <c r="G67" s="11"/>
      <c r="H67" s="11"/>
      <c r="I67" s="18"/>
      <c r="J67" s="11">
        <v>-1002.91</v>
      </c>
      <c r="K67" s="11">
        <v>-12281.72</v>
      </c>
      <c r="L67" s="12">
        <v>284626.38000000006</v>
      </c>
      <c r="M67" s="25">
        <v>343412.32</v>
      </c>
      <c r="N67" s="26">
        <f>L67-M67</f>
        <v>-58785.939999999944</v>
      </c>
      <c r="O67" s="26">
        <v>1058.32</v>
      </c>
      <c r="P67" s="26">
        <f t="shared" si="3"/>
        <v>55.409999999999968</v>
      </c>
      <c r="Q67" s="26">
        <v>1738.08</v>
      </c>
      <c r="R67" s="26">
        <f t="shared" si="1"/>
        <v>-10543.64</v>
      </c>
      <c r="S67" s="26">
        <v>12281.720000000001</v>
      </c>
      <c r="T67" s="27">
        <f t="shared" si="2"/>
        <v>-12281.720000000001</v>
      </c>
    </row>
    <row r="68" spans="1:20" s="1" customFormat="1">
      <c r="A68" s="3">
        <v>6675</v>
      </c>
      <c r="B68" s="3" t="s">
        <v>23</v>
      </c>
      <c r="C68" s="10">
        <v>279020.01</v>
      </c>
      <c r="D68" s="10"/>
      <c r="E68" s="11"/>
      <c r="F68" s="18"/>
      <c r="G68" s="11"/>
      <c r="H68" s="11"/>
      <c r="I68" s="18"/>
      <c r="J68" s="11">
        <v>-28508.12</v>
      </c>
      <c r="K68" s="11"/>
      <c r="L68" s="12">
        <v>250511.89</v>
      </c>
      <c r="M68" s="25">
        <v>280568.37</v>
      </c>
      <c r="N68" s="26">
        <f>L68-M68</f>
        <v>-30056.479999999981</v>
      </c>
      <c r="O68" s="26">
        <v>28616.11</v>
      </c>
      <c r="P68" s="26">
        <f t="shared" si="3"/>
        <v>107.9900000000016</v>
      </c>
      <c r="Q68" s="26">
        <v>0</v>
      </c>
      <c r="R68" s="26">
        <f t="shared" ref="R68:R131" si="4">K68+Q68</f>
        <v>0</v>
      </c>
      <c r="S68" s="26">
        <v>0</v>
      </c>
      <c r="T68" s="27">
        <f t="shared" ref="T68:T131" si="5">F68-S68</f>
        <v>0</v>
      </c>
    </row>
    <row r="69" spans="1:20" s="1" customFormat="1">
      <c r="A69" s="3">
        <v>6703</v>
      </c>
      <c r="B69" s="3" t="s">
        <v>87</v>
      </c>
      <c r="C69" s="10">
        <v>74631.7</v>
      </c>
      <c r="D69" s="10"/>
      <c r="E69" s="11"/>
      <c r="F69" s="18"/>
      <c r="G69" s="11"/>
      <c r="H69" s="11"/>
      <c r="I69" s="18"/>
      <c r="J69" s="11"/>
      <c r="K69" s="11"/>
      <c r="L69" s="12">
        <v>74631.7</v>
      </c>
      <c r="M69" s="25">
        <v>72282.539999999994</v>
      </c>
      <c r="N69" s="26">
        <f>L69-M69</f>
        <v>2349.1600000000035</v>
      </c>
      <c r="O69" s="26">
        <v>0</v>
      </c>
      <c r="P69" s="26">
        <f t="shared" si="3"/>
        <v>0</v>
      </c>
      <c r="Q69" s="26">
        <v>0</v>
      </c>
      <c r="R69" s="26">
        <f t="shared" si="4"/>
        <v>0</v>
      </c>
      <c r="S69" s="26">
        <v>0</v>
      </c>
      <c r="T69" s="27">
        <f t="shared" si="5"/>
        <v>0</v>
      </c>
    </row>
    <row r="70" spans="1:20" s="1" customFormat="1">
      <c r="A70" s="3">
        <v>6781</v>
      </c>
      <c r="B70" s="3" t="s">
        <v>23</v>
      </c>
      <c r="C70" s="10">
        <v>139213.99</v>
      </c>
      <c r="D70" s="10"/>
      <c r="E70" s="11"/>
      <c r="F70" s="18"/>
      <c r="G70" s="11"/>
      <c r="H70" s="11"/>
      <c r="I70" s="18"/>
      <c r="J70" s="11">
        <v>-42561.15</v>
      </c>
      <c r="K70" s="11"/>
      <c r="L70" s="12">
        <v>96652.84</v>
      </c>
      <c r="M70" s="25">
        <v>141032.99</v>
      </c>
      <c r="N70" s="26">
        <f>L70-M70</f>
        <v>-44380.149999999994</v>
      </c>
      <c r="O70" s="26">
        <v>42594.13</v>
      </c>
      <c r="P70" s="26">
        <f t="shared" si="3"/>
        <v>32.979999999995925</v>
      </c>
      <c r="Q70" s="26">
        <v>8060.45</v>
      </c>
      <c r="R70" s="26">
        <f t="shared" si="4"/>
        <v>8060.45</v>
      </c>
      <c r="S70" s="26">
        <v>0</v>
      </c>
      <c r="T70" s="27">
        <f t="shared" si="5"/>
        <v>0</v>
      </c>
    </row>
    <row r="71" spans="1:20" s="1" customFormat="1">
      <c r="A71" s="3">
        <v>6798</v>
      </c>
      <c r="B71" s="3" t="s">
        <v>90</v>
      </c>
      <c r="C71" s="10">
        <v>68341</v>
      </c>
      <c r="D71" s="10"/>
      <c r="E71" s="11"/>
      <c r="F71" s="18"/>
      <c r="G71" s="11"/>
      <c r="H71" s="11"/>
      <c r="I71" s="18"/>
      <c r="J71" s="11"/>
      <c r="K71" s="11">
        <v>-1300</v>
      </c>
      <c r="L71" s="12">
        <v>67041</v>
      </c>
      <c r="M71" s="25">
        <v>68341</v>
      </c>
      <c r="N71" s="26">
        <f>L71-M71</f>
        <v>-1300</v>
      </c>
      <c r="O71" s="26">
        <v>0</v>
      </c>
      <c r="P71" s="26">
        <f t="shared" si="3"/>
        <v>0</v>
      </c>
      <c r="Q71" s="26">
        <v>3936</v>
      </c>
      <c r="R71" s="26">
        <f t="shared" si="4"/>
        <v>2636</v>
      </c>
      <c r="S71" s="26">
        <v>1300</v>
      </c>
      <c r="T71" s="27">
        <f t="shared" si="5"/>
        <v>-1300</v>
      </c>
    </row>
    <row r="72" spans="1:20" s="1" customFormat="1">
      <c r="A72" s="3">
        <v>6857</v>
      </c>
      <c r="B72" s="3" t="s">
        <v>213</v>
      </c>
      <c r="C72" s="10">
        <v>13637.34</v>
      </c>
      <c r="D72" s="10"/>
      <c r="E72" s="11"/>
      <c r="F72" s="18"/>
      <c r="G72" s="11"/>
      <c r="H72" s="11"/>
      <c r="I72" s="18"/>
      <c r="J72" s="11"/>
      <c r="K72" s="11"/>
      <c r="L72" s="12">
        <v>13637.34</v>
      </c>
      <c r="M72" s="25">
        <v>9365.8799999999992</v>
      </c>
      <c r="N72" s="26">
        <f>L72-M72</f>
        <v>4271.4600000000009</v>
      </c>
      <c r="O72" s="26">
        <v>0</v>
      </c>
      <c r="P72" s="26">
        <f t="shared" si="3"/>
        <v>0</v>
      </c>
      <c r="Q72" s="26">
        <v>459</v>
      </c>
      <c r="R72" s="26">
        <f t="shared" si="4"/>
        <v>459</v>
      </c>
      <c r="S72" s="26">
        <v>0</v>
      </c>
      <c r="T72" s="27">
        <f t="shared" si="5"/>
        <v>0</v>
      </c>
    </row>
    <row r="73" spans="1:20" s="1" customFormat="1">
      <c r="A73" s="3">
        <v>6894</v>
      </c>
      <c r="B73" s="3" t="s">
        <v>239</v>
      </c>
      <c r="C73" s="10">
        <v>5032.8</v>
      </c>
      <c r="D73" s="10"/>
      <c r="E73" s="11"/>
      <c r="F73" s="18"/>
      <c r="G73" s="11"/>
      <c r="H73" s="11"/>
      <c r="I73" s="18"/>
      <c r="J73" s="11"/>
      <c r="K73" s="11"/>
      <c r="L73" s="12">
        <v>5032.8</v>
      </c>
      <c r="M73" s="25">
        <v>5032.8</v>
      </c>
      <c r="N73" s="26">
        <f>L73-M73</f>
        <v>0</v>
      </c>
      <c r="O73" s="26">
        <v>0</v>
      </c>
      <c r="P73" s="26">
        <f t="shared" si="3"/>
        <v>0</v>
      </c>
      <c r="Q73" s="26">
        <v>0</v>
      </c>
      <c r="R73" s="26">
        <f t="shared" si="4"/>
        <v>0</v>
      </c>
      <c r="S73" s="26">
        <v>0</v>
      </c>
      <c r="T73" s="27">
        <f t="shared" si="5"/>
        <v>0</v>
      </c>
    </row>
    <row r="74" spans="1:20" s="1" customFormat="1">
      <c r="A74" s="3">
        <v>6962</v>
      </c>
      <c r="B74" s="3" t="s">
        <v>139</v>
      </c>
      <c r="C74" s="10">
        <v>23395.11</v>
      </c>
      <c r="D74" s="10"/>
      <c r="E74" s="11"/>
      <c r="F74" s="18"/>
      <c r="G74" s="11"/>
      <c r="H74" s="11"/>
      <c r="I74" s="18"/>
      <c r="J74" s="11"/>
      <c r="K74" s="11"/>
      <c r="L74" s="12">
        <v>23395.11</v>
      </c>
      <c r="M74" s="25">
        <v>26374.53</v>
      </c>
      <c r="N74" s="26">
        <f>L74-M74</f>
        <v>-2979.4199999999983</v>
      </c>
      <c r="O74" s="26">
        <v>0</v>
      </c>
      <c r="P74" s="26">
        <f t="shared" si="3"/>
        <v>0</v>
      </c>
      <c r="Q74" s="26">
        <v>0</v>
      </c>
      <c r="R74" s="26">
        <f t="shared" si="4"/>
        <v>0</v>
      </c>
      <c r="S74" s="26">
        <v>0</v>
      </c>
      <c r="T74" s="27">
        <f t="shared" si="5"/>
        <v>0</v>
      </c>
    </row>
    <row r="75" spans="1:20" s="1" customFormat="1">
      <c r="A75" s="3">
        <v>6979</v>
      </c>
      <c r="B75" s="3" t="s">
        <v>114</v>
      </c>
      <c r="C75" s="10">
        <v>7886.08</v>
      </c>
      <c r="D75" s="10"/>
      <c r="E75" s="11"/>
      <c r="F75" s="18"/>
      <c r="G75" s="11"/>
      <c r="H75" s="11"/>
      <c r="I75" s="18"/>
      <c r="J75" s="11"/>
      <c r="K75" s="11">
        <v>-86.95</v>
      </c>
      <c r="L75" s="12">
        <v>7799.13</v>
      </c>
      <c r="M75" s="25">
        <v>7886.08</v>
      </c>
      <c r="N75" s="26">
        <f>L75-M75</f>
        <v>-86.949999999999818</v>
      </c>
      <c r="O75" s="26">
        <v>0</v>
      </c>
      <c r="P75" s="26">
        <f t="shared" ref="P75:P138" si="6">O75+J75</f>
        <v>0</v>
      </c>
      <c r="Q75" s="26">
        <v>0</v>
      </c>
      <c r="R75" s="26">
        <f t="shared" si="4"/>
        <v>-86.95</v>
      </c>
      <c r="S75" s="26">
        <v>86.95</v>
      </c>
      <c r="T75" s="27">
        <f t="shared" si="5"/>
        <v>-86.95</v>
      </c>
    </row>
    <row r="76" spans="1:20" s="1" customFormat="1">
      <c r="A76" s="3">
        <v>7019</v>
      </c>
      <c r="B76" s="3" t="s">
        <v>129</v>
      </c>
      <c r="C76" s="10">
        <v>31817.34</v>
      </c>
      <c r="D76" s="10"/>
      <c r="E76" s="11"/>
      <c r="F76" s="18"/>
      <c r="G76" s="11"/>
      <c r="H76" s="11"/>
      <c r="I76" s="18"/>
      <c r="J76" s="11"/>
      <c r="K76" s="11"/>
      <c r="L76" s="12">
        <v>31817.34</v>
      </c>
      <c r="M76" s="25">
        <v>31684.02</v>
      </c>
      <c r="N76" s="26">
        <f>L76-M76</f>
        <v>133.31999999999971</v>
      </c>
      <c r="O76" s="26">
        <v>0</v>
      </c>
      <c r="P76" s="26">
        <f t="shared" si="6"/>
        <v>0</v>
      </c>
      <c r="Q76" s="26">
        <v>0</v>
      </c>
      <c r="R76" s="26">
        <f t="shared" si="4"/>
        <v>0</v>
      </c>
      <c r="S76" s="26">
        <v>0</v>
      </c>
      <c r="T76" s="27">
        <f t="shared" si="5"/>
        <v>0</v>
      </c>
    </row>
    <row r="77" spans="1:20" s="1" customFormat="1">
      <c r="A77" s="3">
        <v>7076</v>
      </c>
      <c r="B77" s="3" t="s">
        <v>143</v>
      </c>
      <c r="C77" s="10">
        <v>32263.5</v>
      </c>
      <c r="D77" s="10"/>
      <c r="E77" s="11"/>
      <c r="F77" s="18"/>
      <c r="G77" s="11"/>
      <c r="H77" s="11"/>
      <c r="I77" s="18"/>
      <c r="J77" s="11"/>
      <c r="K77" s="11"/>
      <c r="L77" s="12">
        <v>32263.5</v>
      </c>
      <c r="M77" s="25">
        <v>31438.31</v>
      </c>
      <c r="N77" s="26">
        <f>L77-M77</f>
        <v>825.18999999999869</v>
      </c>
      <c r="O77" s="26">
        <v>0</v>
      </c>
      <c r="P77" s="26">
        <f t="shared" si="6"/>
        <v>0</v>
      </c>
      <c r="Q77" s="26">
        <v>0</v>
      </c>
      <c r="R77" s="26">
        <f t="shared" si="4"/>
        <v>0</v>
      </c>
      <c r="S77" s="26">
        <v>0</v>
      </c>
      <c r="T77" s="27">
        <f t="shared" si="5"/>
        <v>0</v>
      </c>
    </row>
    <row r="78" spans="1:20" s="1" customFormat="1">
      <c r="A78" s="3">
        <v>7086</v>
      </c>
      <c r="B78" s="3" t="s">
        <v>19</v>
      </c>
      <c r="C78" s="10">
        <v>447703.2</v>
      </c>
      <c r="D78" s="10"/>
      <c r="E78" s="11"/>
      <c r="F78" s="18"/>
      <c r="G78" s="11"/>
      <c r="H78" s="11"/>
      <c r="I78" s="18"/>
      <c r="J78" s="11"/>
      <c r="K78" s="11"/>
      <c r="L78" s="12">
        <v>447703.2</v>
      </c>
      <c r="M78" s="25">
        <v>447703.2</v>
      </c>
      <c r="N78" s="26">
        <f>L78-M78</f>
        <v>0</v>
      </c>
      <c r="O78" s="26">
        <v>0</v>
      </c>
      <c r="P78" s="26">
        <f t="shared" si="6"/>
        <v>0</v>
      </c>
      <c r="Q78" s="26">
        <v>0</v>
      </c>
      <c r="R78" s="26">
        <f t="shared" si="4"/>
        <v>0</v>
      </c>
      <c r="S78" s="26">
        <v>0</v>
      </c>
      <c r="T78" s="27">
        <f t="shared" si="5"/>
        <v>0</v>
      </c>
    </row>
    <row r="79" spans="1:20" s="1" customFormat="1">
      <c r="A79" s="3">
        <v>7307</v>
      </c>
      <c r="B79" s="3" t="s">
        <v>164</v>
      </c>
      <c r="C79" s="10">
        <v>18877.099999999999</v>
      </c>
      <c r="D79" s="10"/>
      <c r="E79" s="11"/>
      <c r="F79" s="18"/>
      <c r="G79" s="11"/>
      <c r="H79" s="11"/>
      <c r="I79" s="18"/>
      <c r="J79" s="11"/>
      <c r="K79" s="11"/>
      <c r="L79" s="12">
        <v>18877.099999999999</v>
      </c>
      <c r="M79" s="25">
        <v>18552</v>
      </c>
      <c r="N79" s="26">
        <f>L79-M79</f>
        <v>325.09999999999854</v>
      </c>
      <c r="O79" s="26">
        <v>0</v>
      </c>
      <c r="P79" s="26">
        <f t="shared" si="6"/>
        <v>0</v>
      </c>
      <c r="Q79" s="26">
        <v>0</v>
      </c>
      <c r="R79" s="26">
        <f t="shared" si="4"/>
        <v>0</v>
      </c>
      <c r="S79" s="26">
        <v>0</v>
      </c>
      <c r="T79" s="27">
        <f t="shared" si="5"/>
        <v>0</v>
      </c>
    </row>
    <row r="80" spans="1:20" s="1" customFormat="1">
      <c r="A80" s="3">
        <v>7344</v>
      </c>
      <c r="B80" s="3" t="s">
        <v>65</v>
      </c>
      <c r="C80" s="10">
        <v>114284.47</v>
      </c>
      <c r="D80" s="10"/>
      <c r="E80" s="11"/>
      <c r="F80" s="18"/>
      <c r="G80" s="11"/>
      <c r="H80" s="11"/>
      <c r="I80" s="18"/>
      <c r="J80" s="11">
        <v>-6602.52</v>
      </c>
      <c r="K80" s="11"/>
      <c r="L80" s="12">
        <v>107681.95</v>
      </c>
      <c r="M80" s="25">
        <v>114284.47</v>
      </c>
      <c r="N80" s="26">
        <f>L80-M80</f>
        <v>-6602.5200000000041</v>
      </c>
      <c r="O80" s="26">
        <v>6602.52</v>
      </c>
      <c r="P80" s="26">
        <f t="shared" si="6"/>
        <v>0</v>
      </c>
      <c r="Q80" s="26">
        <v>0</v>
      </c>
      <c r="R80" s="26">
        <f t="shared" si="4"/>
        <v>0</v>
      </c>
      <c r="S80" s="26">
        <v>0</v>
      </c>
      <c r="T80" s="27">
        <f t="shared" si="5"/>
        <v>0</v>
      </c>
    </row>
    <row r="81" spans="1:20" s="1" customFormat="1">
      <c r="A81" s="3">
        <v>7365</v>
      </c>
      <c r="B81" s="3" t="s">
        <v>219</v>
      </c>
      <c r="C81" s="10">
        <v>7998</v>
      </c>
      <c r="D81" s="10"/>
      <c r="E81" s="11"/>
      <c r="F81" s="18"/>
      <c r="G81" s="11"/>
      <c r="H81" s="11"/>
      <c r="I81" s="18"/>
      <c r="J81" s="11"/>
      <c r="K81" s="11"/>
      <c r="L81" s="12">
        <v>7998</v>
      </c>
      <c r="M81" s="25">
        <v>7998</v>
      </c>
      <c r="N81" s="26">
        <f>L81-M81</f>
        <v>0</v>
      </c>
      <c r="O81" s="26">
        <v>0</v>
      </c>
      <c r="P81" s="26">
        <f t="shared" si="6"/>
        <v>0</v>
      </c>
      <c r="Q81" s="26">
        <v>0</v>
      </c>
      <c r="R81" s="26">
        <f t="shared" si="4"/>
        <v>0</v>
      </c>
      <c r="S81" s="26">
        <v>0</v>
      </c>
      <c r="T81" s="27">
        <f t="shared" si="5"/>
        <v>0</v>
      </c>
    </row>
    <row r="82" spans="1:20" s="1" customFormat="1">
      <c r="A82" s="3">
        <v>7477</v>
      </c>
      <c r="B82" s="3" t="s">
        <v>135</v>
      </c>
      <c r="C82" s="10">
        <v>27750</v>
      </c>
      <c r="D82" s="10"/>
      <c r="E82" s="11"/>
      <c r="F82" s="18"/>
      <c r="G82" s="11"/>
      <c r="H82" s="11"/>
      <c r="I82" s="18"/>
      <c r="J82" s="11"/>
      <c r="K82" s="11"/>
      <c r="L82" s="12">
        <v>27750</v>
      </c>
      <c r="M82" s="25">
        <v>27750</v>
      </c>
      <c r="N82" s="26">
        <f>L82-M82</f>
        <v>0</v>
      </c>
      <c r="O82" s="26">
        <v>0</v>
      </c>
      <c r="P82" s="26">
        <f t="shared" si="6"/>
        <v>0</v>
      </c>
      <c r="Q82" s="26">
        <v>0</v>
      </c>
      <c r="R82" s="26">
        <f t="shared" si="4"/>
        <v>0</v>
      </c>
      <c r="S82" s="26">
        <v>0</v>
      </c>
      <c r="T82" s="27">
        <f t="shared" si="5"/>
        <v>0</v>
      </c>
    </row>
    <row r="83" spans="1:20" s="1" customFormat="1">
      <c r="A83" s="3">
        <v>7493</v>
      </c>
      <c r="B83" s="3" t="s">
        <v>204</v>
      </c>
      <c r="C83" s="10">
        <v>10618.44</v>
      </c>
      <c r="D83" s="10"/>
      <c r="E83" s="11"/>
      <c r="F83" s="18"/>
      <c r="G83" s="11"/>
      <c r="H83" s="11"/>
      <c r="I83" s="18"/>
      <c r="J83" s="11"/>
      <c r="K83" s="11"/>
      <c r="L83" s="12">
        <v>10618.44</v>
      </c>
      <c r="M83" s="25">
        <v>10284.200000000001</v>
      </c>
      <c r="N83" s="26">
        <f>L83-M83</f>
        <v>334.23999999999978</v>
      </c>
      <c r="O83" s="26">
        <v>0</v>
      </c>
      <c r="P83" s="26">
        <f t="shared" si="6"/>
        <v>0</v>
      </c>
      <c r="Q83" s="26">
        <v>0</v>
      </c>
      <c r="R83" s="26">
        <f t="shared" si="4"/>
        <v>0</v>
      </c>
      <c r="S83" s="26">
        <v>0</v>
      </c>
      <c r="T83" s="27">
        <f t="shared" si="5"/>
        <v>0</v>
      </c>
    </row>
    <row r="84" spans="1:20" s="1" customFormat="1">
      <c r="A84" s="3">
        <v>7550</v>
      </c>
      <c r="B84" s="3" t="s">
        <v>168</v>
      </c>
      <c r="C84" s="10">
        <v>20402.66</v>
      </c>
      <c r="D84" s="10"/>
      <c r="E84" s="11"/>
      <c r="F84" s="18"/>
      <c r="G84" s="11"/>
      <c r="H84" s="11"/>
      <c r="I84" s="18"/>
      <c r="J84" s="11">
        <v>-387.59</v>
      </c>
      <c r="K84" s="11"/>
      <c r="L84" s="12">
        <v>20015.07</v>
      </c>
      <c r="M84" s="25">
        <v>17341.78</v>
      </c>
      <c r="N84" s="26">
        <f>L84-M84</f>
        <v>2673.2900000000009</v>
      </c>
      <c r="O84" s="26">
        <v>387.59</v>
      </c>
      <c r="P84" s="26">
        <f t="shared" si="6"/>
        <v>0</v>
      </c>
      <c r="Q84" s="26">
        <v>1704.37</v>
      </c>
      <c r="R84" s="26">
        <f t="shared" si="4"/>
        <v>1704.37</v>
      </c>
      <c r="S84" s="26">
        <v>0</v>
      </c>
      <c r="T84" s="27">
        <f t="shared" si="5"/>
        <v>0</v>
      </c>
    </row>
    <row r="85" spans="1:20" s="1" customFormat="1">
      <c r="A85" s="3">
        <v>7607</v>
      </c>
      <c r="B85" s="3" t="s">
        <v>241</v>
      </c>
      <c r="C85" s="10">
        <v>4850.93</v>
      </c>
      <c r="D85" s="10"/>
      <c r="E85" s="11"/>
      <c r="F85" s="18"/>
      <c r="G85" s="11"/>
      <c r="H85" s="11"/>
      <c r="I85" s="18"/>
      <c r="J85" s="11"/>
      <c r="K85" s="11"/>
      <c r="L85" s="12">
        <v>4850.93</v>
      </c>
      <c r="M85" s="25">
        <v>4850.93</v>
      </c>
      <c r="N85" s="26">
        <f>L85-M85</f>
        <v>0</v>
      </c>
      <c r="O85" s="26">
        <v>0</v>
      </c>
      <c r="P85" s="26">
        <f t="shared" si="6"/>
        <v>0</v>
      </c>
      <c r="Q85" s="26">
        <v>0</v>
      </c>
      <c r="R85" s="26">
        <f t="shared" si="4"/>
        <v>0</v>
      </c>
      <c r="S85" s="26">
        <v>0</v>
      </c>
      <c r="T85" s="27">
        <f t="shared" si="5"/>
        <v>0</v>
      </c>
    </row>
    <row r="86" spans="1:20" s="1" customFormat="1">
      <c r="A86" s="3">
        <v>7829</v>
      </c>
      <c r="B86" s="3" t="s">
        <v>163</v>
      </c>
      <c r="C86" s="10">
        <v>18600.3</v>
      </c>
      <c r="D86" s="10"/>
      <c r="E86" s="11"/>
      <c r="F86" s="18"/>
      <c r="G86" s="11"/>
      <c r="H86" s="11"/>
      <c r="I86" s="18"/>
      <c r="J86" s="11"/>
      <c r="K86" s="11"/>
      <c r="L86" s="12">
        <v>18600.3</v>
      </c>
      <c r="M86" s="25">
        <v>18600.3</v>
      </c>
      <c r="N86" s="26">
        <f>L86-M86</f>
        <v>0</v>
      </c>
      <c r="O86" s="26">
        <v>0</v>
      </c>
      <c r="P86" s="26">
        <f t="shared" si="6"/>
        <v>0</v>
      </c>
      <c r="Q86" s="26">
        <v>0</v>
      </c>
      <c r="R86" s="26">
        <f t="shared" si="4"/>
        <v>0</v>
      </c>
      <c r="S86" s="26">
        <v>0</v>
      </c>
      <c r="T86" s="27">
        <f t="shared" si="5"/>
        <v>0</v>
      </c>
    </row>
    <row r="87" spans="1:20" s="1" customFormat="1">
      <c r="A87" s="3">
        <v>7918</v>
      </c>
      <c r="B87" s="3" t="s">
        <v>89</v>
      </c>
      <c r="C87" s="10">
        <v>69090</v>
      </c>
      <c r="D87" s="10"/>
      <c r="E87" s="11"/>
      <c r="F87" s="18"/>
      <c r="G87" s="11"/>
      <c r="H87" s="11"/>
      <c r="I87" s="18"/>
      <c r="J87" s="11"/>
      <c r="K87" s="11">
        <v>-3021.79</v>
      </c>
      <c r="L87" s="12">
        <v>66068.210000000006</v>
      </c>
      <c r="M87" s="25">
        <v>69090</v>
      </c>
      <c r="N87" s="26">
        <f>L87-M87</f>
        <v>-3021.7899999999936</v>
      </c>
      <c r="O87" s="26">
        <v>0</v>
      </c>
      <c r="P87" s="26">
        <f t="shared" si="6"/>
        <v>0</v>
      </c>
      <c r="Q87" s="26">
        <v>0</v>
      </c>
      <c r="R87" s="26">
        <f t="shared" si="4"/>
        <v>-3021.79</v>
      </c>
      <c r="S87" s="26">
        <v>3021.79</v>
      </c>
      <c r="T87" s="27">
        <f t="shared" si="5"/>
        <v>-3021.79</v>
      </c>
    </row>
    <row r="88" spans="1:20" s="1" customFormat="1">
      <c r="A88" s="3">
        <v>7984</v>
      </c>
      <c r="B88" s="3" t="s">
        <v>205</v>
      </c>
      <c r="C88" s="10">
        <v>10260</v>
      </c>
      <c r="D88" s="10"/>
      <c r="E88" s="11"/>
      <c r="F88" s="18"/>
      <c r="G88" s="11"/>
      <c r="H88" s="11"/>
      <c r="I88" s="18"/>
      <c r="J88" s="11"/>
      <c r="K88" s="11"/>
      <c r="L88" s="12">
        <v>10260</v>
      </c>
      <c r="M88" s="25">
        <v>10260</v>
      </c>
      <c r="N88" s="26">
        <f>L88-M88</f>
        <v>0</v>
      </c>
      <c r="O88" s="26">
        <v>0</v>
      </c>
      <c r="P88" s="26">
        <f t="shared" si="6"/>
        <v>0</v>
      </c>
      <c r="Q88" s="26">
        <v>0</v>
      </c>
      <c r="R88" s="26">
        <f t="shared" si="4"/>
        <v>0</v>
      </c>
      <c r="S88" s="26">
        <v>0</v>
      </c>
      <c r="T88" s="27">
        <f t="shared" si="5"/>
        <v>0</v>
      </c>
    </row>
    <row r="89" spans="1:20" s="1" customFormat="1">
      <c r="A89" s="3">
        <v>7995</v>
      </c>
      <c r="B89" s="3" t="s">
        <v>64</v>
      </c>
      <c r="C89" s="10">
        <v>116079.44</v>
      </c>
      <c r="D89" s="10"/>
      <c r="E89" s="11"/>
      <c r="F89" s="18"/>
      <c r="G89" s="11"/>
      <c r="H89" s="11"/>
      <c r="I89" s="18"/>
      <c r="J89" s="11">
        <v>-630.79999999999995</v>
      </c>
      <c r="K89" s="11"/>
      <c r="L89" s="12">
        <v>115448.64</v>
      </c>
      <c r="M89" s="25">
        <v>116079.44</v>
      </c>
      <c r="N89" s="26">
        <f>L89-M89</f>
        <v>-630.80000000000291</v>
      </c>
      <c r="O89" s="26">
        <v>630.79999999999995</v>
      </c>
      <c r="P89" s="26">
        <f t="shared" si="6"/>
        <v>0</v>
      </c>
      <c r="Q89" s="26">
        <v>1010.88</v>
      </c>
      <c r="R89" s="26">
        <f t="shared" si="4"/>
        <v>1010.88</v>
      </c>
      <c r="S89" s="26">
        <v>0</v>
      </c>
      <c r="T89" s="27">
        <f t="shared" si="5"/>
        <v>0</v>
      </c>
    </row>
    <row r="90" spans="1:20" s="1" customFormat="1">
      <c r="A90" s="3">
        <v>8147</v>
      </c>
      <c r="B90" s="3" t="s">
        <v>172</v>
      </c>
      <c r="C90" s="10">
        <v>17544.84</v>
      </c>
      <c r="D90" s="10"/>
      <c r="E90" s="11"/>
      <c r="F90" s="18"/>
      <c r="G90" s="11"/>
      <c r="H90" s="11"/>
      <c r="I90" s="18"/>
      <c r="J90" s="11"/>
      <c r="K90" s="11"/>
      <c r="L90" s="12">
        <v>17544.84</v>
      </c>
      <c r="M90" s="25">
        <v>17052.96</v>
      </c>
      <c r="N90" s="26">
        <f>L90-M90</f>
        <v>491.88000000000102</v>
      </c>
      <c r="O90" s="26">
        <v>0</v>
      </c>
      <c r="P90" s="26">
        <f t="shared" si="6"/>
        <v>0</v>
      </c>
      <c r="Q90" s="26">
        <v>0</v>
      </c>
      <c r="R90" s="26">
        <f t="shared" si="4"/>
        <v>0</v>
      </c>
      <c r="S90" s="26">
        <v>0</v>
      </c>
      <c r="T90" s="27">
        <f t="shared" si="5"/>
        <v>0</v>
      </c>
    </row>
    <row r="91" spans="1:20" s="1" customFormat="1">
      <c r="A91" s="3">
        <v>8243</v>
      </c>
      <c r="B91" s="3" t="s">
        <v>197</v>
      </c>
      <c r="C91" s="10">
        <v>11614.68</v>
      </c>
      <c r="D91" s="10"/>
      <c r="E91" s="11"/>
      <c r="F91" s="18"/>
      <c r="G91" s="11"/>
      <c r="H91" s="11"/>
      <c r="I91" s="18"/>
      <c r="J91" s="11"/>
      <c r="K91" s="11"/>
      <c r="L91" s="12">
        <v>11614.68</v>
      </c>
      <c r="M91" s="25">
        <v>11398.86</v>
      </c>
      <c r="N91" s="26">
        <f>L91-M91</f>
        <v>215.81999999999971</v>
      </c>
      <c r="O91" s="26">
        <v>0</v>
      </c>
      <c r="P91" s="26">
        <f t="shared" si="6"/>
        <v>0</v>
      </c>
      <c r="Q91" s="26">
        <v>342.42</v>
      </c>
      <c r="R91" s="26">
        <f t="shared" si="4"/>
        <v>342.42</v>
      </c>
      <c r="S91" s="26">
        <v>0</v>
      </c>
      <c r="T91" s="27">
        <f t="shared" si="5"/>
        <v>0</v>
      </c>
    </row>
    <row r="92" spans="1:20" s="1" customFormat="1">
      <c r="A92" s="3">
        <v>8305</v>
      </c>
      <c r="B92" s="3" t="s">
        <v>160</v>
      </c>
      <c r="C92" s="10">
        <v>21883.7</v>
      </c>
      <c r="D92" s="10"/>
      <c r="E92" s="11"/>
      <c r="F92" s="18"/>
      <c r="G92" s="11"/>
      <c r="H92" s="11"/>
      <c r="I92" s="18"/>
      <c r="J92" s="11"/>
      <c r="K92" s="11"/>
      <c r="L92" s="12">
        <v>21883.7</v>
      </c>
      <c r="M92" s="25">
        <v>19122.400000000001</v>
      </c>
      <c r="N92" s="26">
        <f>L92-M92</f>
        <v>2761.2999999999993</v>
      </c>
      <c r="O92" s="26">
        <v>0</v>
      </c>
      <c r="P92" s="26">
        <f t="shared" si="6"/>
        <v>0</v>
      </c>
      <c r="Q92" s="26">
        <v>0</v>
      </c>
      <c r="R92" s="26">
        <f t="shared" si="4"/>
        <v>0</v>
      </c>
      <c r="S92" s="26">
        <v>0</v>
      </c>
      <c r="T92" s="27">
        <f t="shared" si="5"/>
        <v>0</v>
      </c>
    </row>
    <row r="93" spans="1:20" s="1" customFormat="1">
      <c r="A93" s="3">
        <v>8423</v>
      </c>
      <c r="B93" s="3" t="s">
        <v>231</v>
      </c>
      <c r="C93" s="10">
        <v>6223.92</v>
      </c>
      <c r="D93" s="10"/>
      <c r="E93" s="11"/>
      <c r="F93" s="18"/>
      <c r="G93" s="11"/>
      <c r="H93" s="11"/>
      <c r="I93" s="18"/>
      <c r="J93" s="11"/>
      <c r="K93" s="11"/>
      <c r="L93" s="12">
        <v>6223.92</v>
      </c>
      <c r="M93" s="25">
        <v>6223.92</v>
      </c>
      <c r="N93" s="26">
        <f>L93-M93</f>
        <v>0</v>
      </c>
      <c r="O93" s="26">
        <v>0</v>
      </c>
      <c r="P93" s="26">
        <f t="shared" si="6"/>
        <v>0</v>
      </c>
      <c r="Q93" s="26">
        <v>0</v>
      </c>
      <c r="R93" s="26">
        <f t="shared" si="4"/>
        <v>0</v>
      </c>
      <c r="S93" s="26">
        <v>0</v>
      </c>
      <c r="T93" s="27">
        <f t="shared" si="5"/>
        <v>0</v>
      </c>
    </row>
    <row r="94" spans="1:20" s="1" customFormat="1">
      <c r="A94" s="3">
        <v>8425</v>
      </c>
      <c r="B94" s="3" t="s">
        <v>220</v>
      </c>
      <c r="C94" s="10">
        <v>9887.82</v>
      </c>
      <c r="D94" s="10"/>
      <c r="E94" s="11"/>
      <c r="F94" s="18"/>
      <c r="G94" s="11"/>
      <c r="H94" s="11"/>
      <c r="I94" s="18"/>
      <c r="J94" s="11">
        <v>-209.97</v>
      </c>
      <c r="K94" s="11"/>
      <c r="L94" s="12">
        <v>9677.85</v>
      </c>
      <c r="M94" s="25">
        <v>7995.93</v>
      </c>
      <c r="N94" s="26">
        <f>L94-M94</f>
        <v>1681.92</v>
      </c>
      <c r="O94" s="26">
        <v>203.69</v>
      </c>
      <c r="P94" s="26">
        <f t="shared" si="6"/>
        <v>-6.2800000000000011</v>
      </c>
      <c r="Q94" s="26">
        <v>0</v>
      </c>
      <c r="R94" s="26">
        <f t="shared" si="4"/>
        <v>0</v>
      </c>
      <c r="S94" s="26">
        <v>0</v>
      </c>
      <c r="T94" s="27">
        <f t="shared" si="5"/>
        <v>0</v>
      </c>
    </row>
    <row r="95" spans="1:20" s="1" customFormat="1">
      <c r="A95" s="3">
        <v>8430</v>
      </c>
      <c r="B95" s="3" t="s">
        <v>182</v>
      </c>
      <c r="C95" s="10">
        <v>16294.7</v>
      </c>
      <c r="D95" s="10"/>
      <c r="E95" s="11"/>
      <c r="F95" s="18"/>
      <c r="G95" s="11"/>
      <c r="H95" s="11"/>
      <c r="I95" s="18"/>
      <c r="J95" s="11"/>
      <c r="K95" s="11"/>
      <c r="L95" s="12">
        <v>16294.7</v>
      </c>
      <c r="M95" s="25">
        <v>15296.35</v>
      </c>
      <c r="N95" s="26">
        <f>L95-M95</f>
        <v>998.35000000000036</v>
      </c>
      <c r="O95" s="26">
        <v>0</v>
      </c>
      <c r="P95" s="26">
        <f t="shared" si="6"/>
        <v>0</v>
      </c>
      <c r="Q95" s="26">
        <v>445.17</v>
      </c>
      <c r="R95" s="26">
        <f t="shared" si="4"/>
        <v>445.17</v>
      </c>
      <c r="S95" s="26">
        <v>0</v>
      </c>
      <c r="T95" s="27">
        <f t="shared" si="5"/>
        <v>0</v>
      </c>
    </row>
    <row r="96" spans="1:20" s="1" customFormat="1">
      <c r="A96" s="3">
        <v>8459</v>
      </c>
      <c r="B96" s="3" t="s">
        <v>230</v>
      </c>
      <c r="C96" s="10">
        <v>6389.15</v>
      </c>
      <c r="D96" s="10"/>
      <c r="E96" s="11"/>
      <c r="F96" s="18"/>
      <c r="G96" s="11"/>
      <c r="H96" s="11"/>
      <c r="I96" s="18"/>
      <c r="J96" s="11"/>
      <c r="K96" s="11"/>
      <c r="L96" s="12">
        <v>6389.15</v>
      </c>
      <c r="M96" s="25">
        <v>6389.1500000000005</v>
      </c>
      <c r="N96" s="26">
        <f>L96-M96</f>
        <v>0</v>
      </c>
      <c r="O96" s="26">
        <v>0</v>
      </c>
      <c r="P96" s="26">
        <f t="shared" si="6"/>
        <v>0</v>
      </c>
      <c r="Q96" s="26">
        <v>0</v>
      </c>
      <c r="R96" s="26">
        <f t="shared" si="4"/>
        <v>0</v>
      </c>
      <c r="S96" s="26">
        <v>0</v>
      </c>
      <c r="T96" s="27">
        <f t="shared" si="5"/>
        <v>0</v>
      </c>
    </row>
    <row r="97" spans="1:20" s="1" customFormat="1">
      <c r="A97" s="3">
        <v>8467</v>
      </c>
      <c r="B97" s="3" t="s">
        <v>117</v>
      </c>
      <c r="C97" s="10">
        <v>39697.56</v>
      </c>
      <c r="D97" s="10"/>
      <c r="E97" s="11"/>
      <c r="F97" s="18"/>
      <c r="G97" s="11"/>
      <c r="H97" s="11"/>
      <c r="I97" s="18"/>
      <c r="J97" s="11"/>
      <c r="K97" s="11"/>
      <c r="L97" s="12">
        <v>39697.56</v>
      </c>
      <c r="M97" s="25">
        <v>38448</v>
      </c>
      <c r="N97" s="26">
        <f>L97-M97</f>
        <v>1249.5599999999977</v>
      </c>
      <c r="O97" s="26">
        <v>0</v>
      </c>
      <c r="P97" s="26">
        <f t="shared" si="6"/>
        <v>0</v>
      </c>
      <c r="Q97" s="26">
        <v>0</v>
      </c>
      <c r="R97" s="26">
        <f t="shared" si="4"/>
        <v>0</v>
      </c>
      <c r="S97" s="26">
        <v>0</v>
      </c>
      <c r="T97" s="27">
        <f t="shared" si="5"/>
        <v>0</v>
      </c>
    </row>
    <row r="98" spans="1:20" s="1" customFormat="1">
      <c r="A98" s="3">
        <v>8512</v>
      </c>
      <c r="B98" s="3" t="s">
        <v>187</v>
      </c>
      <c r="C98" s="10">
        <v>13554.3</v>
      </c>
      <c r="D98" s="10"/>
      <c r="E98" s="11"/>
      <c r="F98" s="18"/>
      <c r="G98" s="11"/>
      <c r="H98" s="11"/>
      <c r="I98" s="18"/>
      <c r="J98" s="11"/>
      <c r="K98" s="11"/>
      <c r="L98" s="12">
        <v>13554.3</v>
      </c>
      <c r="M98" s="25">
        <v>13737.6</v>
      </c>
      <c r="N98" s="26">
        <f>L98-M98</f>
        <v>-183.30000000000109</v>
      </c>
      <c r="O98" s="26">
        <v>0</v>
      </c>
      <c r="P98" s="26">
        <f t="shared" si="6"/>
        <v>0</v>
      </c>
      <c r="Q98" s="26">
        <v>0</v>
      </c>
      <c r="R98" s="26">
        <f t="shared" si="4"/>
        <v>0</v>
      </c>
      <c r="S98" s="26">
        <v>0</v>
      </c>
      <c r="T98" s="27">
        <f t="shared" si="5"/>
        <v>0</v>
      </c>
    </row>
    <row r="99" spans="1:20" s="1" customFormat="1">
      <c r="A99" s="3">
        <v>8576</v>
      </c>
      <c r="B99" s="3" t="s">
        <v>56</v>
      </c>
      <c r="C99" s="10">
        <v>140961.01</v>
      </c>
      <c r="D99" s="10"/>
      <c r="E99" s="11"/>
      <c r="F99" s="18"/>
      <c r="G99" s="11"/>
      <c r="H99" s="11"/>
      <c r="I99" s="18"/>
      <c r="J99" s="11"/>
      <c r="K99" s="11"/>
      <c r="L99" s="12">
        <v>140961.01</v>
      </c>
      <c r="M99" s="25">
        <v>135823.20000000001</v>
      </c>
      <c r="N99" s="26">
        <f>L99-M99</f>
        <v>5137.8099999999977</v>
      </c>
      <c r="O99" s="26">
        <v>0</v>
      </c>
      <c r="P99" s="26">
        <f t="shared" si="6"/>
        <v>0</v>
      </c>
      <c r="Q99" s="26">
        <v>0</v>
      </c>
      <c r="R99" s="26">
        <f t="shared" si="4"/>
        <v>0</v>
      </c>
      <c r="S99" s="26">
        <v>0</v>
      </c>
      <c r="T99" s="27">
        <f t="shared" si="5"/>
        <v>0</v>
      </c>
    </row>
    <row r="100" spans="1:20" s="1" customFormat="1">
      <c r="A100" s="3">
        <v>8689</v>
      </c>
      <c r="B100" s="3" t="s">
        <v>181</v>
      </c>
      <c r="C100" s="10">
        <v>13902.75</v>
      </c>
      <c r="D100" s="10"/>
      <c r="E100" s="11"/>
      <c r="F100" s="18"/>
      <c r="G100" s="11"/>
      <c r="H100" s="11">
        <v>1554</v>
      </c>
      <c r="I100" s="18"/>
      <c r="J100" s="11"/>
      <c r="K100" s="11"/>
      <c r="L100" s="12">
        <v>15456.75</v>
      </c>
      <c r="M100" s="25">
        <v>15456.75</v>
      </c>
      <c r="N100" s="26">
        <f>L100-M100</f>
        <v>0</v>
      </c>
      <c r="O100" s="26">
        <v>0</v>
      </c>
      <c r="P100" s="26">
        <f t="shared" si="6"/>
        <v>0</v>
      </c>
      <c r="Q100" s="26">
        <v>0</v>
      </c>
      <c r="R100" s="26">
        <f t="shared" si="4"/>
        <v>0</v>
      </c>
      <c r="S100" s="26">
        <v>0</v>
      </c>
      <c r="T100" s="27">
        <f t="shared" si="5"/>
        <v>0</v>
      </c>
    </row>
    <row r="101" spans="1:20" s="1" customFormat="1">
      <c r="A101" s="3">
        <v>8702</v>
      </c>
      <c r="B101" s="3" t="s">
        <v>20</v>
      </c>
      <c r="C101" s="10">
        <v>407595.74</v>
      </c>
      <c r="D101" s="10"/>
      <c r="E101" s="11"/>
      <c r="F101" s="18"/>
      <c r="G101" s="11"/>
      <c r="H101" s="11"/>
      <c r="I101" s="18"/>
      <c r="J101" s="11"/>
      <c r="K101" s="11"/>
      <c r="L101" s="12">
        <v>407595.74</v>
      </c>
      <c r="M101" s="25">
        <v>408058.91</v>
      </c>
      <c r="N101" s="26">
        <f>L101-M101</f>
        <v>-463.1699999999837</v>
      </c>
      <c r="O101" s="26">
        <v>0</v>
      </c>
      <c r="P101" s="26">
        <f t="shared" si="6"/>
        <v>0</v>
      </c>
      <c r="Q101" s="26">
        <v>0</v>
      </c>
      <c r="R101" s="26">
        <f t="shared" si="4"/>
        <v>0</v>
      </c>
      <c r="S101" s="26">
        <v>0</v>
      </c>
      <c r="T101" s="27">
        <f t="shared" si="5"/>
        <v>0</v>
      </c>
    </row>
    <row r="102" spans="1:20" s="1" customFormat="1">
      <c r="A102" s="3">
        <v>8714</v>
      </c>
      <c r="B102" s="3" t="s">
        <v>32</v>
      </c>
      <c r="C102" s="10">
        <v>232937.63</v>
      </c>
      <c r="D102" s="10"/>
      <c r="E102" s="11"/>
      <c r="F102" s="18"/>
      <c r="G102" s="11"/>
      <c r="H102" s="11">
        <v>4093.75</v>
      </c>
      <c r="I102" s="18"/>
      <c r="J102" s="11"/>
      <c r="K102" s="11">
        <v>-2623.53</v>
      </c>
      <c r="L102" s="12">
        <v>234407.85</v>
      </c>
      <c r="M102" s="25">
        <v>230860.77</v>
      </c>
      <c r="N102" s="26">
        <f>L102-M102</f>
        <v>3547.0800000000163</v>
      </c>
      <c r="O102" s="26">
        <v>0</v>
      </c>
      <c r="P102" s="26">
        <f t="shared" si="6"/>
        <v>0</v>
      </c>
      <c r="Q102" s="26">
        <v>0</v>
      </c>
      <c r="R102" s="26">
        <f t="shared" si="4"/>
        <v>-2623.53</v>
      </c>
      <c r="S102" s="26">
        <v>1996.41</v>
      </c>
      <c r="T102" s="27">
        <f t="shared" si="5"/>
        <v>-1996.41</v>
      </c>
    </row>
    <row r="103" spans="1:20" s="1" customFormat="1">
      <c r="A103" s="3">
        <v>8951</v>
      </c>
      <c r="B103" s="3" t="s">
        <v>157</v>
      </c>
      <c r="C103" s="10">
        <v>20700</v>
      </c>
      <c r="D103" s="10"/>
      <c r="E103" s="11"/>
      <c r="F103" s="18"/>
      <c r="G103" s="11"/>
      <c r="H103" s="11"/>
      <c r="I103" s="18"/>
      <c r="J103" s="11"/>
      <c r="K103" s="11"/>
      <c r="L103" s="12">
        <v>20700</v>
      </c>
      <c r="M103" s="25">
        <v>20700</v>
      </c>
      <c r="N103" s="26">
        <f>L103-M103</f>
        <v>0</v>
      </c>
      <c r="O103" s="26">
        <v>0</v>
      </c>
      <c r="P103" s="26">
        <f t="shared" si="6"/>
        <v>0</v>
      </c>
      <c r="Q103" s="26">
        <v>0</v>
      </c>
      <c r="R103" s="26">
        <f t="shared" si="4"/>
        <v>0</v>
      </c>
      <c r="S103" s="26">
        <v>0</v>
      </c>
      <c r="T103" s="27">
        <f t="shared" si="5"/>
        <v>0</v>
      </c>
    </row>
    <row r="104" spans="1:20" s="1" customFormat="1">
      <c r="A104" s="3">
        <v>9057</v>
      </c>
      <c r="B104" s="3" t="s">
        <v>261</v>
      </c>
      <c r="C104" s="10">
        <v>2331</v>
      </c>
      <c r="D104" s="10"/>
      <c r="E104" s="11"/>
      <c r="F104" s="18"/>
      <c r="G104" s="11"/>
      <c r="H104" s="11"/>
      <c r="I104" s="18"/>
      <c r="J104" s="11"/>
      <c r="K104" s="11"/>
      <c r="L104" s="12">
        <v>2331</v>
      </c>
      <c r="M104" s="25">
        <v>2331</v>
      </c>
      <c r="N104" s="26">
        <f>L104-M104</f>
        <v>0</v>
      </c>
      <c r="O104" s="26">
        <v>0</v>
      </c>
      <c r="P104" s="26">
        <f t="shared" si="6"/>
        <v>0</v>
      </c>
      <c r="Q104" s="26">
        <v>0</v>
      </c>
      <c r="R104" s="26">
        <f t="shared" si="4"/>
        <v>0</v>
      </c>
      <c r="S104" s="26">
        <v>0</v>
      </c>
      <c r="T104" s="27">
        <f t="shared" si="5"/>
        <v>0</v>
      </c>
    </row>
    <row r="105" spans="1:20" s="1" customFormat="1">
      <c r="A105" s="3">
        <v>9122</v>
      </c>
      <c r="B105" s="3" t="s">
        <v>132</v>
      </c>
      <c r="C105" s="10">
        <v>28594.04</v>
      </c>
      <c r="D105" s="10"/>
      <c r="E105" s="11"/>
      <c r="F105" s="18"/>
      <c r="G105" s="11"/>
      <c r="H105" s="11"/>
      <c r="I105" s="18"/>
      <c r="J105" s="11"/>
      <c r="K105" s="11"/>
      <c r="L105" s="12">
        <v>28594.04</v>
      </c>
      <c r="M105" s="25">
        <v>28594.04</v>
      </c>
      <c r="N105" s="26">
        <f>L105-M105</f>
        <v>0</v>
      </c>
      <c r="O105" s="26">
        <v>0</v>
      </c>
      <c r="P105" s="26">
        <f t="shared" si="6"/>
        <v>0</v>
      </c>
      <c r="Q105" s="26">
        <v>0</v>
      </c>
      <c r="R105" s="26">
        <f t="shared" si="4"/>
        <v>0</v>
      </c>
      <c r="S105" s="26">
        <v>0</v>
      </c>
      <c r="T105" s="27">
        <f t="shared" si="5"/>
        <v>0</v>
      </c>
    </row>
    <row r="106" spans="1:20" s="1" customFormat="1">
      <c r="A106" s="3">
        <v>9274</v>
      </c>
      <c r="B106" s="3" t="s">
        <v>196</v>
      </c>
      <c r="C106" s="10">
        <v>15975.9</v>
      </c>
      <c r="D106" s="10"/>
      <c r="E106" s="11"/>
      <c r="F106" s="18"/>
      <c r="G106" s="11"/>
      <c r="H106" s="11"/>
      <c r="I106" s="18"/>
      <c r="J106" s="11"/>
      <c r="K106" s="11"/>
      <c r="L106" s="12">
        <v>15975.9</v>
      </c>
      <c r="M106" s="25">
        <v>15975.9</v>
      </c>
      <c r="N106" s="26">
        <f>L106-M106</f>
        <v>0</v>
      </c>
      <c r="O106" s="26">
        <v>0</v>
      </c>
      <c r="P106" s="26">
        <f t="shared" si="6"/>
        <v>0</v>
      </c>
      <c r="Q106" s="26">
        <v>0</v>
      </c>
      <c r="R106" s="26">
        <f t="shared" si="4"/>
        <v>0</v>
      </c>
      <c r="S106" s="26">
        <v>0</v>
      </c>
      <c r="T106" s="27">
        <f t="shared" si="5"/>
        <v>0</v>
      </c>
    </row>
    <row r="107" spans="1:20" s="1" customFormat="1">
      <c r="A107" s="3">
        <v>9379</v>
      </c>
      <c r="B107" s="3" t="s">
        <v>14</v>
      </c>
      <c r="C107" s="10">
        <v>600242.35</v>
      </c>
      <c r="D107" s="10"/>
      <c r="E107" s="11"/>
      <c r="F107" s="18"/>
      <c r="G107" s="11"/>
      <c r="H107" s="11"/>
      <c r="I107" s="18"/>
      <c r="J107" s="11">
        <v>-52333.41</v>
      </c>
      <c r="K107" s="11"/>
      <c r="L107" s="12">
        <v>547908.93999999994</v>
      </c>
      <c r="M107" s="25">
        <v>600242.35000000009</v>
      </c>
      <c r="N107" s="26">
        <f>L107-M107</f>
        <v>-52333.410000000149</v>
      </c>
      <c r="O107" s="26">
        <v>52130.189999999995</v>
      </c>
      <c r="P107" s="26">
        <f t="shared" si="6"/>
        <v>-203.22000000000844</v>
      </c>
      <c r="Q107" s="26">
        <v>0</v>
      </c>
      <c r="R107" s="26">
        <f t="shared" si="4"/>
        <v>0</v>
      </c>
      <c r="S107" s="26">
        <v>0</v>
      </c>
      <c r="T107" s="27">
        <f t="shared" si="5"/>
        <v>0</v>
      </c>
    </row>
    <row r="108" spans="1:20" s="1" customFormat="1">
      <c r="A108" s="3">
        <v>9409</v>
      </c>
      <c r="B108" s="3" t="s">
        <v>146</v>
      </c>
      <c r="C108" s="10">
        <v>24757</v>
      </c>
      <c r="D108" s="10"/>
      <c r="E108" s="11"/>
      <c r="F108" s="18"/>
      <c r="G108" s="11"/>
      <c r="H108" s="11"/>
      <c r="I108" s="18"/>
      <c r="J108" s="11">
        <v>-622</v>
      </c>
      <c r="K108" s="11"/>
      <c r="L108" s="12">
        <v>24135</v>
      </c>
      <c r="M108" s="25">
        <v>24757</v>
      </c>
      <c r="N108" s="26">
        <f>L108-M108</f>
        <v>-622</v>
      </c>
      <c r="O108" s="26">
        <v>622</v>
      </c>
      <c r="P108" s="26">
        <f t="shared" si="6"/>
        <v>0</v>
      </c>
      <c r="Q108" s="26">
        <v>0</v>
      </c>
      <c r="R108" s="26">
        <f t="shared" si="4"/>
        <v>0</v>
      </c>
      <c r="S108" s="26">
        <v>0</v>
      </c>
      <c r="T108" s="27">
        <f t="shared" si="5"/>
        <v>0</v>
      </c>
    </row>
    <row r="109" spans="1:20" s="1" customFormat="1">
      <c r="A109" s="3">
        <v>9442</v>
      </c>
      <c r="B109" s="3" t="s">
        <v>151</v>
      </c>
      <c r="C109" s="10">
        <v>31203.18</v>
      </c>
      <c r="D109" s="10"/>
      <c r="E109" s="11"/>
      <c r="F109" s="18"/>
      <c r="G109" s="11"/>
      <c r="H109" s="11"/>
      <c r="I109" s="18"/>
      <c r="J109" s="11"/>
      <c r="K109" s="11"/>
      <c r="L109" s="12">
        <v>31203.18</v>
      </c>
      <c r="M109" s="25">
        <v>29114</v>
      </c>
      <c r="N109" s="26">
        <f>L109-M109</f>
        <v>2089.1800000000003</v>
      </c>
      <c r="O109" s="26">
        <v>0</v>
      </c>
      <c r="P109" s="26">
        <f t="shared" si="6"/>
        <v>0</v>
      </c>
      <c r="Q109" s="26">
        <v>0</v>
      </c>
      <c r="R109" s="26">
        <f t="shared" si="4"/>
        <v>0</v>
      </c>
      <c r="S109" s="26">
        <v>0</v>
      </c>
      <c r="T109" s="27">
        <f t="shared" si="5"/>
        <v>0</v>
      </c>
    </row>
    <row r="110" spans="1:20" s="1" customFormat="1">
      <c r="A110" s="3">
        <v>9499</v>
      </c>
      <c r="B110" s="3" t="s">
        <v>147</v>
      </c>
      <c r="C110" s="10">
        <v>24952.06</v>
      </c>
      <c r="D110" s="10"/>
      <c r="E110" s="11"/>
      <c r="F110" s="18"/>
      <c r="G110" s="11"/>
      <c r="H110" s="11"/>
      <c r="I110" s="18"/>
      <c r="J110" s="11">
        <v>-340.44</v>
      </c>
      <c r="K110" s="11"/>
      <c r="L110" s="12">
        <v>24611.620000000003</v>
      </c>
      <c r="M110" s="25">
        <v>24600.81</v>
      </c>
      <c r="N110" s="26">
        <f>L110-M110</f>
        <v>10.81000000000131</v>
      </c>
      <c r="O110" s="26">
        <v>340.44</v>
      </c>
      <c r="P110" s="26">
        <f t="shared" si="6"/>
        <v>0</v>
      </c>
      <c r="Q110" s="26">
        <v>0</v>
      </c>
      <c r="R110" s="26">
        <f t="shared" si="4"/>
        <v>0</v>
      </c>
      <c r="S110" s="26">
        <v>0</v>
      </c>
      <c r="T110" s="27">
        <f t="shared" si="5"/>
        <v>0</v>
      </c>
    </row>
    <row r="111" spans="1:20" s="1" customFormat="1">
      <c r="A111" s="3">
        <v>9543</v>
      </c>
      <c r="B111" s="3" t="s">
        <v>54</v>
      </c>
      <c r="C111" s="10"/>
      <c r="D111" s="10"/>
      <c r="E111" s="11">
        <v>138240</v>
      </c>
      <c r="F111" s="18"/>
      <c r="G111" s="11"/>
      <c r="H111" s="11"/>
      <c r="I111" s="18"/>
      <c r="J111" s="11"/>
      <c r="K111" s="11"/>
      <c r="L111" s="12">
        <v>138240</v>
      </c>
      <c r="M111" s="25">
        <v>138240</v>
      </c>
      <c r="N111" s="26">
        <f>L111-M111</f>
        <v>0</v>
      </c>
      <c r="O111" s="26">
        <v>0</v>
      </c>
      <c r="P111" s="26">
        <f t="shared" si="6"/>
        <v>0</v>
      </c>
      <c r="Q111" s="26">
        <v>910</v>
      </c>
      <c r="R111" s="26">
        <f t="shared" si="4"/>
        <v>910</v>
      </c>
      <c r="S111" s="26">
        <v>0</v>
      </c>
      <c r="T111" s="27">
        <f t="shared" si="5"/>
        <v>0</v>
      </c>
    </row>
    <row r="112" spans="1:20" s="1" customFormat="1">
      <c r="A112" s="3">
        <v>9605</v>
      </c>
      <c r="B112" s="3" t="s">
        <v>39</v>
      </c>
      <c r="C112" s="10">
        <v>189350</v>
      </c>
      <c r="D112" s="10"/>
      <c r="E112" s="11"/>
      <c r="F112" s="18"/>
      <c r="G112" s="11"/>
      <c r="H112" s="11"/>
      <c r="I112" s="18"/>
      <c r="J112" s="11"/>
      <c r="K112" s="11">
        <v>-4381.6000000000004</v>
      </c>
      <c r="L112" s="12">
        <v>184968.4</v>
      </c>
      <c r="M112" s="25">
        <v>189350</v>
      </c>
      <c r="N112" s="26">
        <f>L112-M112</f>
        <v>-4381.6000000000058</v>
      </c>
      <c r="O112" s="26">
        <v>0</v>
      </c>
      <c r="P112" s="26">
        <f t="shared" si="6"/>
        <v>0</v>
      </c>
      <c r="Q112" s="26">
        <v>0</v>
      </c>
      <c r="R112" s="26">
        <f t="shared" si="4"/>
        <v>-4381.6000000000004</v>
      </c>
      <c r="S112" s="26">
        <v>4381.6000000000004</v>
      </c>
      <c r="T112" s="27">
        <f t="shared" si="5"/>
        <v>-4381.6000000000004</v>
      </c>
    </row>
    <row r="113" spans="1:20" s="1" customFormat="1">
      <c r="A113" s="3">
        <v>9608</v>
      </c>
      <c r="B113" s="3" t="s">
        <v>69</v>
      </c>
      <c r="C113" s="10">
        <v>104904</v>
      </c>
      <c r="D113" s="10"/>
      <c r="E113" s="11"/>
      <c r="F113" s="18"/>
      <c r="G113" s="11"/>
      <c r="H113" s="11"/>
      <c r="I113" s="18"/>
      <c r="J113" s="11">
        <v>-309</v>
      </c>
      <c r="K113" s="11"/>
      <c r="L113" s="12">
        <v>104595</v>
      </c>
      <c r="M113" s="25">
        <v>104904</v>
      </c>
      <c r="N113" s="26">
        <f>L113-M113</f>
        <v>-309</v>
      </c>
      <c r="O113" s="26">
        <v>309</v>
      </c>
      <c r="P113" s="26">
        <f t="shared" si="6"/>
        <v>0</v>
      </c>
      <c r="Q113" s="26">
        <v>0</v>
      </c>
      <c r="R113" s="26">
        <f t="shared" si="4"/>
        <v>0</v>
      </c>
      <c r="S113" s="26">
        <v>0</v>
      </c>
      <c r="T113" s="27">
        <f t="shared" si="5"/>
        <v>0</v>
      </c>
    </row>
    <row r="114" spans="1:20" s="1" customFormat="1">
      <c r="A114" s="3">
        <v>9613</v>
      </c>
      <c r="B114" s="3" t="s">
        <v>102</v>
      </c>
      <c r="C114" s="10">
        <v>50307.6</v>
      </c>
      <c r="D114" s="10"/>
      <c r="E114" s="11"/>
      <c r="F114" s="18"/>
      <c r="G114" s="11"/>
      <c r="H114" s="11"/>
      <c r="I114" s="18"/>
      <c r="J114" s="11"/>
      <c r="K114" s="11">
        <v>-206.22</v>
      </c>
      <c r="L114" s="12">
        <v>50101.38</v>
      </c>
      <c r="M114" s="25">
        <v>50307.6</v>
      </c>
      <c r="N114" s="26">
        <f>L114-M114</f>
        <v>-206.22000000000116</v>
      </c>
      <c r="O114" s="26">
        <v>0</v>
      </c>
      <c r="P114" s="26">
        <f t="shared" si="6"/>
        <v>0</v>
      </c>
      <c r="Q114" s="26">
        <v>0</v>
      </c>
      <c r="R114" s="26">
        <f t="shared" si="4"/>
        <v>-206.22</v>
      </c>
      <c r="S114" s="26">
        <v>206.22</v>
      </c>
      <c r="T114" s="27">
        <f t="shared" si="5"/>
        <v>-206.22</v>
      </c>
    </row>
    <row r="115" spans="1:20" s="1" customFormat="1">
      <c r="A115" s="3">
        <v>9622</v>
      </c>
      <c r="B115" s="3" t="s">
        <v>229</v>
      </c>
      <c r="C115" s="10">
        <v>6629.95</v>
      </c>
      <c r="D115" s="10"/>
      <c r="E115" s="11"/>
      <c r="F115" s="18"/>
      <c r="G115" s="11"/>
      <c r="H115" s="11"/>
      <c r="I115" s="18"/>
      <c r="J115" s="11"/>
      <c r="K115" s="11"/>
      <c r="L115" s="12">
        <v>6629.95</v>
      </c>
      <c r="M115" s="25">
        <v>6390.34</v>
      </c>
      <c r="N115" s="26">
        <f>L115-M115</f>
        <v>239.60999999999967</v>
      </c>
      <c r="O115" s="26">
        <v>0</v>
      </c>
      <c r="P115" s="26">
        <f t="shared" si="6"/>
        <v>0</v>
      </c>
      <c r="Q115" s="26">
        <v>0</v>
      </c>
      <c r="R115" s="26">
        <f t="shared" si="4"/>
        <v>0</v>
      </c>
      <c r="S115" s="26">
        <v>0</v>
      </c>
      <c r="T115" s="27">
        <f t="shared" si="5"/>
        <v>0</v>
      </c>
    </row>
    <row r="116" spans="1:20" s="1" customFormat="1">
      <c r="A116" s="3">
        <v>9638</v>
      </c>
      <c r="B116" s="3" t="s">
        <v>12</v>
      </c>
      <c r="C116" s="10">
        <v>725653.59</v>
      </c>
      <c r="D116" s="10"/>
      <c r="E116" s="11"/>
      <c r="F116" s="18"/>
      <c r="G116" s="11"/>
      <c r="H116" s="11"/>
      <c r="I116" s="18"/>
      <c r="J116" s="11"/>
      <c r="K116" s="11"/>
      <c r="L116" s="12">
        <v>725653.59</v>
      </c>
      <c r="M116" s="25">
        <v>629272.73</v>
      </c>
      <c r="N116" s="26">
        <f>L116-M116</f>
        <v>96380.859999999986</v>
      </c>
      <c r="O116" s="26">
        <v>0</v>
      </c>
      <c r="P116" s="26">
        <f t="shared" si="6"/>
        <v>0</v>
      </c>
      <c r="Q116" s="26">
        <v>0</v>
      </c>
      <c r="R116" s="26">
        <f t="shared" si="4"/>
        <v>0</v>
      </c>
      <c r="S116" s="26">
        <v>0</v>
      </c>
      <c r="T116" s="27">
        <f t="shared" si="5"/>
        <v>0</v>
      </c>
    </row>
    <row r="117" spans="1:20" s="1" customFormat="1">
      <c r="A117" s="3">
        <v>9648</v>
      </c>
      <c r="B117" s="3" t="s">
        <v>251</v>
      </c>
      <c r="C117" s="10">
        <v>3500.94</v>
      </c>
      <c r="D117" s="10"/>
      <c r="E117" s="11"/>
      <c r="F117" s="18"/>
      <c r="G117" s="11"/>
      <c r="H117" s="11"/>
      <c r="I117" s="18"/>
      <c r="J117" s="11">
        <v>-77.400000000000006</v>
      </c>
      <c r="K117" s="11"/>
      <c r="L117" s="12">
        <v>3423.54</v>
      </c>
      <c r="M117" s="25">
        <v>3500.94</v>
      </c>
      <c r="N117" s="26">
        <f>L117-M117</f>
        <v>-77.400000000000091</v>
      </c>
      <c r="O117" s="26">
        <v>77.400000000000006</v>
      </c>
      <c r="P117" s="26">
        <f t="shared" si="6"/>
        <v>0</v>
      </c>
      <c r="Q117" s="26">
        <v>0</v>
      </c>
      <c r="R117" s="26">
        <f t="shared" si="4"/>
        <v>0</v>
      </c>
      <c r="S117" s="26">
        <v>0</v>
      </c>
      <c r="T117" s="27">
        <f t="shared" si="5"/>
        <v>0</v>
      </c>
    </row>
    <row r="118" spans="1:20" s="1" customFormat="1">
      <c r="A118" s="3">
        <v>9694</v>
      </c>
      <c r="B118" s="3" t="s">
        <v>51</v>
      </c>
      <c r="C118" s="10">
        <v>145585.59</v>
      </c>
      <c r="D118" s="10"/>
      <c r="E118" s="11"/>
      <c r="F118" s="18"/>
      <c r="G118" s="11"/>
      <c r="H118" s="11"/>
      <c r="I118" s="18"/>
      <c r="J118" s="11">
        <v>-5930.69</v>
      </c>
      <c r="K118" s="11"/>
      <c r="L118" s="12">
        <v>139654.9</v>
      </c>
      <c r="M118" s="25">
        <v>143462.25</v>
      </c>
      <c r="N118" s="26">
        <f>L118-M118</f>
        <v>-3807.3500000000058</v>
      </c>
      <c r="O118" s="26">
        <v>5751.59</v>
      </c>
      <c r="P118" s="26">
        <f t="shared" si="6"/>
        <v>-179.09999999999945</v>
      </c>
      <c r="Q118" s="26">
        <v>0</v>
      </c>
      <c r="R118" s="26">
        <f t="shared" si="4"/>
        <v>0</v>
      </c>
      <c r="S118" s="26">
        <v>0</v>
      </c>
      <c r="T118" s="27">
        <f t="shared" si="5"/>
        <v>0</v>
      </c>
    </row>
    <row r="119" spans="1:20" s="1" customFormat="1">
      <c r="A119" s="3">
        <v>9776</v>
      </c>
      <c r="B119" s="3" t="s">
        <v>22</v>
      </c>
      <c r="C119" s="10">
        <v>18849.64</v>
      </c>
      <c r="D119" s="10"/>
      <c r="E119" s="11"/>
      <c r="F119" s="18"/>
      <c r="G119" s="11"/>
      <c r="H119" s="11"/>
      <c r="I119" s="18"/>
      <c r="J119" s="11"/>
      <c r="K119" s="11"/>
      <c r="L119" s="12">
        <v>18849.64</v>
      </c>
      <c r="M119" s="25">
        <v>18090</v>
      </c>
      <c r="N119" s="26">
        <f>L119-M119</f>
        <v>759.63999999999942</v>
      </c>
      <c r="O119" s="26">
        <v>0</v>
      </c>
      <c r="P119" s="26">
        <f t="shared" si="6"/>
        <v>0</v>
      </c>
      <c r="Q119" s="26">
        <v>0</v>
      </c>
      <c r="R119" s="26">
        <f t="shared" si="4"/>
        <v>0</v>
      </c>
      <c r="S119" s="26">
        <v>0</v>
      </c>
      <c r="T119" s="27">
        <f t="shared" si="5"/>
        <v>0</v>
      </c>
    </row>
    <row r="120" spans="1:20" s="1" customFormat="1">
      <c r="A120" s="3">
        <v>9864</v>
      </c>
      <c r="B120" s="3" t="s">
        <v>185</v>
      </c>
      <c r="C120" s="10">
        <v>14160</v>
      </c>
      <c r="D120" s="10"/>
      <c r="E120" s="11"/>
      <c r="F120" s="18"/>
      <c r="G120" s="11"/>
      <c r="H120" s="11"/>
      <c r="I120" s="18"/>
      <c r="J120" s="11"/>
      <c r="K120" s="11"/>
      <c r="L120" s="12">
        <v>14160</v>
      </c>
      <c r="M120" s="25">
        <v>14160</v>
      </c>
      <c r="N120" s="26">
        <f>L120-M120</f>
        <v>0</v>
      </c>
      <c r="O120" s="26">
        <v>0</v>
      </c>
      <c r="P120" s="26">
        <f t="shared" si="6"/>
        <v>0</v>
      </c>
      <c r="Q120" s="26">
        <v>0</v>
      </c>
      <c r="R120" s="26">
        <f t="shared" si="4"/>
        <v>0</v>
      </c>
      <c r="S120" s="26">
        <v>0</v>
      </c>
      <c r="T120" s="27">
        <f t="shared" si="5"/>
        <v>0</v>
      </c>
    </row>
    <row r="121" spans="1:20" s="1" customFormat="1">
      <c r="A121" s="3">
        <v>9973</v>
      </c>
      <c r="B121" s="3" t="s">
        <v>119</v>
      </c>
      <c r="C121" s="10">
        <v>39327.17</v>
      </c>
      <c r="D121" s="10"/>
      <c r="E121" s="11"/>
      <c r="F121" s="18"/>
      <c r="G121" s="11"/>
      <c r="H121" s="11"/>
      <c r="I121" s="18"/>
      <c r="J121" s="11"/>
      <c r="K121" s="11"/>
      <c r="L121" s="12">
        <v>39327.17</v>
      </c>
      <c r="M121" s="25">
        <v>36926.909999999996</v>
      </c>
      <c r="N121" s="26">
        <f>L121-M121</f>
        <v>2400.260000000002</v>
      </c>
      <c r="O121" s="26">
        <v>0</v>
      </c>
      <c r="P121" s="26">
        <f t="shared" si="6"/>
        <v>0</v>
      </c>
      <c r="Q121" s="26">
        <v>0</v>
      </c>
      <c r="R121" s="26">
        <f t="shared" si="4"/>
        <v>0</v>
      </c>
      <c r="S121" s="26">
        <v>0</v>
      </c>
      <c r="T121" s="27">
        <f t="shared" si="5"/>
        <v>0</v>
      </c>
    </row>
    <row r="122" spans="1:20" s="1" customFormat="1">
      <c r="A122" s="3">
        <v>10111</v>
      </c>
      <c r="B122" s="3" t="s">
        <v>249</v>
      </c>
      <c r="C122" s="10">
        <v>3915.6</v>
      </c>
      <c r="D122" s="10"/>
      <c r="E122" s="11"/>
      <c r="F122" s="18"/>
      <c r="G122" s="11"/>
      <c r="H122" s="11"/>
      <c r="I122" s="18"/>
      <c r="J122" s="11"/>
      <c r="K122" s="11"/>
      <c r="L122" s="12">
        <v>3915.6</v>
      </c>
      <c r="M122" s="25">
        <v>3915.6</v>
      </c>
      <c r="N122" s="26">
        <f>L122-M122</f>
        <v>0</v>
      </c>
      <c r="O122" s="26">
        <v>0</v>
      </c>
      <c r="P122" s="26">
        <f t="shared" si="6"/>
        <v>0</v>
      </c>
      <c r="Q122" s="26">
        <v>0</v>
      </c>
      <c r="R122" s="26">
        <f t="shared" si="4"/>
        <v>0</v>
      </c>
      <c r="S122" s="26">
        <v>0</v>
      </c>
      <c r="T122" s="27">
        <f t="shared" si="5"/>
        <v>0</v>
      </c>
    </row>
    <row r="123" spans="1:20" s="1" customFormat="1">
      <c r="A123" s="3">
        <v>10124</v>
      </c>
      <c r="B123" s="3" t="s">
        <v>28</v>
      </c>
      <c r="C123" s="10">
        <v>247784.3</v>
      </c>
      <c r="D123" s="10"/>
      <c r="E123" s="11"/>
      <c r="F123" s="18"/>
      <c r="G123" s="11"/>
      <c r="H123" s="11"/>
      <c r="I123" s="18"/>
      <c r="J123" s="11">
        <v>-6534.98</v>
      </c>
      <c r="K123" s="11"/>
      <c r="L123" s="12">
        <v>241249.31999999998</v>
      </c>
      <c r="M123" s="25">
        <v>247879.57</v>
      </c>
      <c r="N123" s="26">
        <f>L123-M123</f>
        <v>-6630.2500000000291</v>
      </c>
      <c r="O123" s="26">
        <v>6531.97</v>
      </c>
      <c r="P123" s="26">
        <f t="shared" si="6"/>
        <v>-3.0099999999993088</v>
      </c>
      <c r="Q123" s="26">
        <v>0</v>
      </c>
      <c r="R123" s="26">
        <f t="shared" si="4"/>
        <v>0</v>
      </c>
      <c r="S123" s="26">
        <v>0</v>
      </c>
      <c r="T123" s="27">
        <f t="shared" si="5"/>
        <v>0</v>
      </c>
    </row>
    <row r="124" spans="1:20" s="1" customFormat="1">
      <c r="A124" s="3">
        <v>10142</v>
      </c>
      <c r="B124" s="3" t="s">
        <v>104</v>
      </c>
      <c r="C124" s="10">
        <v>99237.93</v>
      </c>
      <c r="D124" s="10"/>
      <c r="E124" s="11"/>
      <c r="F124" s="18"/>
      <c r="G124" s="11"/>
      <c r="H124" s="11">
        <v>11255.16</v>
      </c>
      <c r="I124" s="18"/>
      <c r="J124" s="11"/>
      <c r="K124" s="11">
        <v>-1067.3699999999999</v>
      </c>
      <c r="L124" s="12">
        <v>109425.72</v>
      </c>
      <c r="M124" s="25">
        <v>110493.09</v>
      </c>
      <c r="N124" s="26">
        <f>L124-M124</f>
        <v>-1067.3699999999953</v>
      </c>
      <c r="O124" s="26">
        <v>0</v>
      </c>
      <c r="P124" s="26">
        <f t="shared" si="6"/>
        <v>0</v>
      </c>
      <c r="Q124" s="26">
        <v>1921.32</v>
      </c>
      <c r="R124" s="26">
        <f t="shared" si="4"/>
        <v>853.95</v>
      </c>
      <c r="S124" s="26">
        <v>1067.3700000000001</v>
      </c>
      <c r="T124" s="27">
        <f t="shared" si="5"/>
        <v>-1067.3700000000001</v>
      </c>
    </row>
    <row r="125" spans="1:20" s="1" customFormat="1">
      <c r="A125" s="3">
        <v>10153</v>
      </c>
      <c r="B125" s="3" t="s">
        <v>130</v>
      </c>
      <c r="C125" s="10">
        <v>29432.04</v>
      </c>
      <c r="D125" s="10"/>
      <c r="E125" s="11"/>
      <c r="F125" s="18"/>
      <c r="G125" s="11"/>
      <c r="H125" s="11"/>
      <c r="I125" s="18"/>
      <c r="J125" s="11"/>
      <c r="K125" s="11"/>
      <c r="L125" s="12">
        <v>29432.04</v>
      </c>
      <c r="M125" s="25">
        <v>29432.04</v>
      </c>
      <c r="N125" s="26">
        <f>L125-M125</f>
        <v>0</v>
      </c>
      <c r="O125" s="26">
        <v>0</v>
      </c>
      <c r="P125" s="26">
        <f t="shared" si="6"/>
        <v>0</v>
      </c>
      <c r="Q125" s="26">
        <v>0</v>
      </c>
      <c r="R125" s="26">
        <f t="shared" si="4"/>
        <v>0</v>
      </c>
      <c r="S125" s="26">
        <v>0</v>
      </c>
      <c r="T125" s="27">
        <f t="shared" si="5"/>
        <v>0</v>
      </c>
    </row>
    <row r="126" spans="1:20" s="1" customFormat="1">
      <c r="A126" s="3">
        <v>10181</v>
      </c>
      <c r="B126" s="3" t="s">
        <v>46</v>
      </c>
      <c r="C126" s="10">
        <v>130444.92</v>
      </c>
      <c r="D126" s="10"/>
      <c r="E126" s="11"/>
      <c r="F126" s="18"/>
      <c r="G126" s="11"/>
      <c r="H126" s="11"/>
      <c r="I126" s="18"/>
      <c r="J126" s="11"/>
      <c r="K126" s="11">
        <v>-554.83000000000004</v>
      </c>
      <c r="L126" s="12">
        <v>129890.09</v>
      </c>
      <c r="M126" s="25">
        <v>156936.82</v>
      </c>
      <c r="N126" s="26">
        <f>L126-M126</f>
        <v>-27046.73000000001</v>
      </c>
      <c r="O126" s="26">
        <v>0</v>
      </c>
      <c r="P126" s="26">
        <f t="shared" si="6"/>
        <v>0</v>
      </c>
      <c r="Q126" s="26">
        <v>0</v>
      </c>
      <c r="R126" s="26">
        <f t="shared" si="4"/>
        <v>-554.83000000000004</v>
      </c>
      <c r="S126" s="26">
        <v>554.82999999999993</v>
      </c>
      <c r="T126" s="27">
        <f t="shared" si="5"/>
        <v>-554.82999999999993</v>
      </c>
    </row>
    <row r="127" spans="1:20" s="1" customFormat="1">
      <c r="A127" s="3">
        <v>10189</v>
      </c>
      <c r="B127" s="3" t="s">
        <v>66</v>
      </c>
      <c r="C127" s="10">
        <v>113072.65</v>
      </c>
      <c r="D127" s="10"/>
      <c r="E127" s="11"/>
      <c r="F127" s="18"/>
      <c r="G127" s="11"/>
      <c r="H127" s="11"/>
      <c r="I127" s="18"/>
      <c r="J127" s="11"/>
      <c r="K127" s="11">
        <v>-714.33</v>
      </c>
      <c r="L127" s="12">
        <v>112358.31999999999</v>
      </c>
      <c r="M127" s="25">
        <v>113448.65</v>
      </c>
      <c r="N127" s="26">
        <f>L127-M127</f>
        <v>-1090.3300000000017</v>
      </c>
      <c r="O127" s="26">
        <v>0</v>
      </c>
      <c r="P127" s="26">
        <f t="shared" si="6"/>
        <v>0</v>
      </c>
      <c r="Q127" s="26">
        <v>0</v>
      </c>
      <c r="R127" s="26">
        <f t="shared" si="4"/>
        <v>-714.33</v>
      </c>
      <c r="S127" s="26">
        <v>714.33</v>
      </c>
      <c r="T127" s="27">
        <f t="shared" si="5"/>
        <v>-714.33</v>
      </c>
    </row>
    <row r="128" spans="1:20" s="1" customFormat="1">
      <c r="A128" s="3">
        <v>10190</v>
      </c>
      <c r="B128" s="3" t="s">
        <v>76</v>
      </c>
      <c r="C128" s="10">
        <v>111346.81</v>
      </c>
      <c r="D128" s="10"/>
      <c r="E128" s="11"/>
      <c r="F128" s="18"/>
      <c r="G128" s="11"/>
      <c r="H128" s="11"/>
      <c r="I128" s="18"/>
      <c r="J128" s="11"/>
      <c r="K128" s="11"/>
      <c r="L128" s="12">
        <v>111346.81</v>
      </c>
      <c r="M128" s="25">
        <v>88045.85</v>
      </c>
      <c r="N128" s="26">
        <f>L128-M128</f>
        <v>23300.959999999992</v>
      </c>
      <c r="O128" s="26">
        <v>0</v>
      </c>
      <c r="P128" s="26">
        <f t="shared" si="6"/>
        <v>0</v>
      </c>
      <c r="Q128" s="26">
        <v>6073.29</v>
      </c>
      <c r="R128" s="26">
        <f t="shared" si="4"/>
        <v>6073.29</v>
      </c>
      <c r="S128" s="26">
        <v>0</v>
      </c>
      <c r="T128" s="27">
        <f t="shared" si="5"/>
        <v>0</v>
      </c>
    </row>
    <row r="129" spans="1:20" s="1" customFormat="1">
      <c r="A129" s="3">
        <v>10281</v>
      </c>
      <c r="B129" s="3" t="s">
        <v>227</v>
      </c>
      <c r="C129" s="10">
        <v>6403.26</v>
      </c>
      <c r="D129" s="10"/>
      <c r="E129" s="11"/>
      <c r="F129" s="18"/>
      <c r="G129" s="11"/>
      <c r="H129" s="11"/>
      <c r="I129" s="18"/>
      <c r="J129" s="11"/>
      <c r="K129" s="11"/>
      <c r="L129" s="12">
        <v>6403.26</v>
      </c>
      <c r="M129" s="25">
        <v>6403.26</v>
      </c>
      <c r="N129" s="26">
        <f>L129-M129</f>
        <v>0</v>
      </c>
      <c r="O129" s="26">
        <v>0</v>
      </c>
      <c r="P129" s="26">
        <f t="shared" si="6"/>
        <v>0</v>
      </c>
      <c r="Q129" s="26">
        <v>1208.3599999999999</v>
      </c>
      <c r="R129" s="26">
        <f t="shared" si="4"/>
        <v>1208.3599999999999</v>
      </c>
      <c r="S129" s="26">
        <v>0</v>
      </c>
      <c r="T129" s="27">
        <f t="shared" si="5"/>
        <v>0</v>
      </c>
    </row>
    <row r="130" spans="1:20" s="1" customFormat="1">
      <c r="A130" s="3">
        <v>10321</v>
      </c>
      <c r="B130" s="3" t="s">
        <v>162</v>
      </c>
      <c r="C130" s="10">
        <v>18758.599999999999</v>
      </c>
      <c r="D130" s="10"/>
      <c r="E130" s="11"/>
      <c r="F130" s="18"/>
      <c r="G130" s="11"/>
      <c r="H130" s="11"/>
      <c r="I130" s="18"/>
      <c r="J130" s="11"/>
      <c r="K130" s="11">
        <v>-2092.36</v>
      </c>
      <c r="L130" s="12">
        <v>16666.239999999998</v>
      </c>
      <c r="M130" s="25">
        <v>18758.599999999999</v>
      </c>
      <c r="N130" s="26">
        <f>L130-M130</f>
        <v>-2092.3600000000006</v>
      </c>
      <c r="O130" s="26">
        <v>0</v>
      </c>
      <c r="P130" s="26">
        <f t="shared" si="6"/>
        <v>0</v>
      </c>
      <c r="Q130" s="26">
        <v>0</v>
      </c>
      <c r="R130" s="26">
        <f t="shared" si="4"/>
        <v>-2092.36</v>
      </c>
      <c r="S130" s="26">
        <v>2092.3599999999997</v>
      </c>
      <c r="T130" s="27">
        <f t="shared" si="5"/>
        <v>-2092.3599999999997</v>
      </c>
    </row>
    <row r="131" spans="1:20" s="1" customFormat="1">
      <c r="A131" s="3">
        <v>10334</v>
      </c>
      <c r="B131" s="3" t="s">
        <v>53</v>
      </c>
      <c r="C131" s="10">
        <v>144190.31</v>
      </c>
      <c r="D131" s="10"/>
      <c r="E131" s="11"/>
      <c r="F131" s="18"/>
      <c r="G131" s="11"/>
      <c r="H131" s="11"/>
      <c r="I131" s="18"/>
      <c r="J131" s="11"/>
      <c r="K131" s="11">
        <v>-442.05</v>
      </c>
      <c r="L131" s="12">
        <v>143748.26</v>
      </c>
      <c r="M131" s="25">
        <v>140685.93</v>
      </c>
      <c r="N131" s="26">
        <f>L131-M131</f>
        <v>3062.3300000000163</v>
      </c>
      <c r="O131" s="26">
        <v>0</v>
      </c>
      <c r="P131" s="26">
        <f t="shared" si="6"/>
        <v>0</v>
      </c>
      <c r="Q131" s="26">
        <v>416.45</v>
      </c>
      <c r="R131" s="26">
        <f t="shared" si="4"/>
        <v>-25.600000000000023</v>
      </c>
      <c r="S131" s="26">
        <v>442.05</v>
      </c>
      <c r="T131" s="27">
        <f t="shared" si="5"/>
        <v>-442.05</v>
      </c>
    </row>
    <row r="132" spans="1:20" s="1" customFormat="1">
      <c r="A132" s="3">
        <v>10368</v>
      </c>
      <c r="B132" s="3" t="s">
        <v>50</v>
      </c>
      <c r="C132" s="10">
        <v>145204.35</v>
      </c>
      <c r="D132" s="10"/>
      <c r="E132" s="11"/>
      <c r="F132" s="18"/>
      <c r="G132" s="11"/>
      <c r="H132" s="11"/>
      <c r="I132" s="18"/>
      <c r="J132" s="11"/>
      <c r="K132" s="11">
        <v>-4819.12</v>
      </c>
      <c r="L132" s="12">
        <v>140385.23000000001</v>
      </c>
      <c r="M132" s="25">
        <v>145177.45000000001</v>
      </c>
      <c r="N132" s="26">
        <f>L132-M132</f>
        <v>-4792.2200000000012</v>
      </c>
      <c r="O132" s="26">
        <v>0</v>
      </c>
      <c r="P132" s="26">
        <f t="shared" si="6"/>
        <v>0</v>
      </c>
      <c r="Q132" s="26">
        <v>0</v>
      </c>
      <c r="R132" s="26">
        <f t="shared" ref="R132:R195" si="7">K132+Q132</f>
        <v>-4819.12</v>
      </c>
      <c r="S132" s="26">
        <v>4819.12</v>
      </c>
      <c r="T132" s="27">
        <f t="shared" ref="T132:T195" si="8">F132-S132</f>
        <v>-4819.12</v>
      </c>
    </row>
    <row r="133" spans="1:20" s="1" customFormat="1">
      <c r="A133" s="3">
        <v>10421</v>
      </c>
      <c r="B133" s="3" t="s">
        <v>10</v>
      </c>
      <c r="C133" s="10">
        <v>804481.29</v>
      </c>
      <c r="D133" s="10"/>
      <c r="E133" s="11"/>
      <c r="F133" s="18"/>
      <c r="G133" s="11"/>
      <c r="H133" s="11">
        <v>8082.07</v>
      </c>
      <c r="I133" s="18"/>
      <c r="J133" s="11">
        <v>-32729.7</v>
      </c>
      <c r="K133" s="11"/>
      <c r="L133" s="12">
        <v>779833.66</v>
      </c>
      <c r="M133" s="25">
        <v>808502.39</v>
      </c>
      <c r="N133" s="26">
        <f>L133-M133</f>
        <v>-28668.729999999981</v>
      </c>
      <c r="O133" s="26">
        <v>32729.7</v>
      </c>
      <c r="P133" s="26">
        <f t="shared" si="6"/>
        <v>0</v>
      </c>
      <c r="Q133" s="26">
        <v>0</v>
      </c>
      <c r="R133" s="26">
        <f t="shared" si="7"/>
        <v>0</v>
      </c>
      <c r="S133" s="26">
        <v>0</v>
      </c>
      <c r="T133" s="27">
        <f t="shared" si="8"/>
        <v>0</v>
      </c>
    </row>
    <row r="134" spans="1:20" s="1" customFormat="1">
      <c r="A134" s="3">
        <v>10489</v>
      </c>
      <c r="B134" s="3" t="s">
        <v>257</v>
      </c>
      <c r="C134" s="10">
        <v>2804.88</v>
      </c>
      <c r="D134" s="10"/>
      <c r="E134" s="11"/>
      <c r="F134" s="18"/>
      <c r="G134" s="11"/>
      <c r="H134" s="11"/>
      <c r="I134" s="18"/>
      <c r="J134" s="11"/>
      <c r="K134" s="11"/>
      <c r="L134" s="12">
        <v>2804.88</v>
      </c>
      <c r="M134" s="25">
        <v>2804.88</v>
      </c>
      <c r="N134" s="26">
        <f>L134-M134</f>
        <v>0</v>
      </c>
      <c r="O134" s="26">
        <v>0</v>
      </c>
      <c r="P134" s="26">
        <f t="shared" si="6"/>
        <v>0</v>
      </c>
      <c r="Q134" s="26">
        <v>0</v>
      </c>
      <c r="R134" s="26">
        <f t="shared" si="7"/>
        <v>0</v>
      </c>
      <c r="S134" s="26">
        <v>0</v>
      </c>
      <c r="T134" s="27">
        <f t="shared" si="8"/>
        <v>0</v>
      </c>
    </row>
    <row r="135" spans="1:20" s="1" customFormat="1">
      <c r="A135" s="3">
        <v>10511</v>
      </c>
      <c r="B135" s="3" t="s">
        <v>11</v>
      </c>
      <c r="C135" s="10">
        <v>716982.78</v>
      </c>
      <c r="D135" s="10"/>
      <c r="E135" s="11"/>
      <c r="F135" s="18"/>
      <c r="G135" s="11"/>
      <c r="H135" s="11"/>
      <c r="I135" s="18"/>
      <c r="J135" s="11">
        <v>-659.94</v>
      </c>
      <c r="K135" s="11"/>
      <c r="L135" s="12">
        <v>716322.84000000008</v>
      </c>
      <c r="M135" s="25">
        <v>716982.78</v>
      </c>
      <c r="N135" s="26">
        <f>L135-M135</f>
        <v>-659.93999999994412</v>
      </c>
      <c r="O135" s="26">
        <v>659.94</v>
      </c>
      <c r="P135" s="26">
        <f t="shared" si="6"/>
        <v>0</v>
      </c>
      <c r="Q135" s="26">
        <v>3764.25</v>
      </c>
      <c r="R135" s="26">
        <f t="shared" si="7"/>
        <v>3764.25</v>
      </c>
      <c r="S135" s="26">
        <v>0</v>
      </c>
      <c r="T135" s="27">
        <f t="shared" si="8"/>
        <v>0</v>
      </c>
    </row>
    <row r="136" spans="1:20" s="1" customFormat="1">
      <c r="A136" s="3">
        <v>10525</v>
      </c>
      <c r="B136" s="3" t="s">
        <v>188</v>
      </c>
      <c r="C136" s="10">
        <v>13964.78</v>
      </c>
      <c r="D136" s="10"/>
      <c r="E136" s="11"/>
      <c r="F136" s="18"/>
      <c r="G136" s="11"/>
      <c r="H136" s="11"/>
      <c r="I136" s="18"/>
      <c r="J136" s="11"/>
      <c r="K136" s="11"/>
      <c r="L136" s="12">
        <v>13964.78</v>
      </c>
      <c r="M136" s="25">
        <v>13525.2</v>
      </c>
      <c r="N136" s="26">
        <f>L136-M136</f>
        <v>439.57999999999993</v>
      </c>
      <c r="O136" s="26">
        <v>0</v>
      </c>
      <c r="P136" s="26">
        <f t="shared" si="6"/>
        <v>0</v>
      </c>
      <c r="Q136" s="26">
        <v>0</v>
      </c>
      <c r="R136" s="26">
        <f t="shared" si="7"/>
        <v>0</v>
      </c>
      <c r="S136" s="26">
        <v>0</v>
      </c>
      <c r="T136" s="27">
        <f t="shared" si="8"/>
        <v>0</v>
      </c>
    </row>
    <row r="137" spans="1:20" s="1" customFormat="1">
      <c r="A137" s="3">
        <v>10617</v>
      </c>
      <c r="B137" s="3" t="s">
        <v>234</v>
      </c>
      <c r="C137" s="10">
        <v>5385</v>
      </c>
      <c r="D137" s="10"/>
      <c r="E137" s="11"/>
      <c r="F137" s="18"/>
      <c r="G137" s="11"/>
      <c r="H137" s="11"/>
      <c r="I137" s="18"/>
      <c r="J137" s="11"/>
      <c r="K137" s="11"/>
      <c r="L137" s="12">
        <v>5385</v>
      </c>
      <c r="M137" s="25">
        <v>6017.4</v>
      </c>
      <c r="N137" s="26">
        <f>L137-M137</f>
        <v>-632.39999999999964</v>
      </c>
      <c r="O137" s="26">
        <v>0</v>
      </c>
      <c r="P137" s="26">
        <f t="shared" si="6"/>
        <v>0</v>
      </c>
      <c r="Q137" s="26">
        <v>0</v>
      </c>
      <c r="R137" s="26">
        <f t="shared" si="7"/>
        <v>0</v>
      </c>
      <c r="S137" s="26">
        <v>0</v>
      </c>
      <c r="T137" s="27">
        <f t="shared" si="8"/>
        <v>0</v>
      </c>
    </row>
    <row r="138" spans="1:20" s="1" customFormat="1">
      <c r="A138" s="3">
        <v>10648</v>
      </c>
      <c r="B138" s="3" t="s">
        <v>248</v>
      </c>
      <c r="C138" s="10">
        <v>4045.79</v>
      </c>
      <c r="D138" s="10"/>
      <c r="E138" s="11"/>
      <c r="F138" s="18"/>
      <c r="G138" s="11"/>
      <c r="H138" s="11"/>
      <c r="I138" s="18"/>
      <c r="J138" s="11">
        <v>-294.20999999999998</v>
      </c>
      <c r="K138" s="11"/>
      <c r="L138" s="12">
        <v>3751.58</v>
      </c>
      <c r="M138" s="25">
        <v>3959.44</v>
      </c>
      <c r="N138" s="26">
        <f>L138-M138</f>
        <v>-207.86000000000013</v>
      </c>
      <c r="O138" s="26">
        <v>294.20999999999998</v>
      </c>
      <c r="P138" s="26">
        <f t="shared" si="6"/>
        <v>0</v>
      </c>
      <c r="Q138" s="26">
        <v>0</v>
      </c>
      <c r="R138" s="26">
        <f t="shared" si="7"/>
        <v>0</v>
      </c>
      <c r="S138" s="26">
        <v>0</v>
      </c>
      <c r="T138" s="27">
        <f t="shared" si="8"/>
        <v>0</v>
      </c>
    </row>
    <row r="139" spans="1:20" s="1" customFormat="1">
      <c r="A139" s="3">
        <v>10674</v>
      </c>
      <c r="B139" s="3" t="s">
        <v>36</v>
      </c>
      <c r="C139" s="10">
        <v>210034.45</v>
      </c>
      <c r="D139" s="10"/>
      <c r="E139" s="11"/>
      <c r="F139" s="18"/>
      <c r="G139" s="11"/>
      <c r="H139" s="11"/>
      <c r="I139" s="18"/>
      <c r="J139" s="11">
        <v>-15.67</v>
      </c>
      <c r="K139" s="11"/>
      <c r="L139" s="12">
        <v>210018.78</v>
      </c>
      <c r="M139" s="25">
        <v>202844.88</v>
      </c>
      <c r="N139" s="26">
        <f>L139-M139</f>
        <v>7173.8999999999942</v>
      </c>
      <c r="O139" s="26">
        <v>15.67</v>
      </c>
      <c r="P139" s="26">
        <f t="shared" ref="P139:P202" si="9">O139+J139</f>
        <v>0</v>
      </c>
      <c r="Q139" s="26">
        <v>500.22</v>
      </c>
      <c r="R139" s="26">
        <f t="shared" si="7"/>
        <v>500.22</v>
      </c>
      <c r="S139" s="26">
        <v>0</v>
      </c>
      <c r="T139" s="27">
        <f t="shared" si="8"/>
        <v>0</v>
      </c>
    </row>
    <row r="140" spans="1:20" s="1" customFormat="1">
      <c r="A140" s="3">
        <v>10683</v>
      </c>
      <c r="B140" s="3" t="s">
        <v>193</v>
      </c>
      <c r="C140" s="10">
        <v>12699.8</v>
      </c>
      <c r="D140" s="10"/>
      <c r="E140" s="11"/>
      <c r="F140" s="18"/>
      <c r="G140" s="11"/>
      <c r="H140" s="11"/>
      <c r="I140" s="18"/>
      <c r="J140" s="11"/>
      <c r="K140" s="11">
        <v>-2096.16</v>
      </c>
      <c r="L140" s="12">
        <v>10603.64</v>
      </c>
      <c r="M140" s="25">
        <v>12699.8</v>
      </c>
      <c r="N140" s="26">
        <f>L140-M140</f>
        <v>-2096.16</v>
      </c>
      <c r="O140" s="26">
        <v>0</v>
      </c>
      <c r="P140" s="26">
        <f t="shared" si="9"/>
        <v>0</v>
      </c>
      <c r="Q140" s="26">
        <v>0</v>
      </c>
      <c r="R140" s="26">
        <f t="shared" si="7"/>
        <v>-2096.16</v>
      </c>
      <c r="S140" s="26">
        <v>2096.16</v>
      </c>
      <c r="T140" s="27">
        <f t="shared" si="8"/>
        <v>-2096.16</v>
      </c>
    </row>
    <row r="141" spans="1:20" s="1" customFormat="1">
      <c r="A141" s="3">
        <v>10721</v>
      </c>
      <c r="B141" s="3" t="s">
        <v>123</v>
      </c>
      <c r="C141" s="10">
        <v>34425</v>
      </c>
      <c r="D141" s="10"/>
      <c r="E141" s="11"/>
      <c r="F141" s="18"/>
      <c r="G141" s="11"/>
      <c r="H141" s="11"/>
      <c r="I141" s="18"/>
      <c r="J141" s="11">
        <v>-892.48</v>
      </c>
      <c r="K141" s="11">
        <v>-520.35</v>
      </c>
      <c r="L141" s="12">
        <v>33012.17</v>
      </c>
      <c r="M141" s="25">
        <v>34425</v>
      </c>
      <c r="N141" s="26">
        <f>L141-M141</f>
        <v>-1412.8300000000017</v>
      </c>
      <c r="O141" s="26">
        <v>892.48</v>
      </c>
      <c r="P141" s="26">
        <f t="shared" si="9"/>
        <v>0</v>
      </c>
      <c r="Q141" s="26">
        <v>0</v>
      </c>
      <c r="R141" s="26">
        <f t="shared" si="7"/>
        <v>-520.35</v>
      </c>
      <c r="S141" s="26">
        <v>520.35</v>
      </c>
      <c r="T141" s="27">
        <f t="shared" si="8"/>
        <v>-520.35</v>
      </c>
    </row>
    <row r="142" spans="1:20" s="1" customFormat="1">
      <c r="A142" s="3">
        <v>10885</v>
      </c>
      <c r="B142" s="3" t="s">
        <v>269</v>
      </c>
      <c r="C142" s="10">
        <v>1001.27</v>
      </c>
      <c r="D142" s="10"/>
      <c r="E142" s="11"/>
      <c r="F142" s="18"/>
      <c r="G142" s="11"/>
      <c r="H142" s="11"/>
      <c r="I142" s="18"/>
      <c r="J142" s="11"/>
      <c r="K142" s="11"/>
      <c r="L142" s="12">
        <v>1001.27</v>
      </c>
      <c r="M142" s="25">
        <v>1001.27</v>
      </c>
      <c r="N142" s="26">
        <f>L142-M142</f>
        <v>0</v>
      </c>
      <c r="O142" s="26">
        <v>0</v>
      </c>
      <c r="P142" s="26">
        <f t="shared" si="9"/>
        <v>0</v>
      </c>
      <c r="Q142" s="26">
        <v>0</v>
      </c>
      <c r="R142" s="26">
        <f t="shared" si="7"/>
        <v>0</v>
      </c>
      <c r="S142" s="26">
        <v>0</v>
      </c>
      <c r="T142" s="27">
        <f t="shared" si="8"/>
        <v>0</v>
      </c>
    </row>
    <row r="143" spans="1:20" s="1" customFormat="1">
      <c r="A143" s="3">
        <v>10956</v>
      </c>
      <c r="B143" s="3" t="s">
        <v>80</v>
      </c>
      <c r="C143" s="10">
        <v>82549.710000000006</v>
      </c>
      <c r="D143" s="10"/>
      <c r="E143" s="11"/>
      <c r="F143" s="18"/>
      <c r="G143" s="11"/>
      <c r="H143" s="11"/>
      <c r="I143" s="18"/>
      <c r="J143" s="11">
        <v>-542.55999999999995</v>
      </c>
      <c r="K143" s="11"/>
      <c r="L143" s="12">
        <v>82007.150000000009</v>
      </c>
      <c r="M143" s="25">
        <v>82549.710000000006</v>
      </c>
      <c r="N143" s="26">
        <f>L143-M143</f>
        <v>-542.55999999999767</v>
      </c>
      <c r="O143" s="26">
        <v>542.55999999999995</v>
      </c>
      <c r="P143" s="26">
        <f t="shared" si="9"/>
        <v>0</v>
      </c>
      <c r="Q143" s="26">
        <v>0</v>
      </c>
      <c r="R143" s="26">
        <f t="shared" si="7"/>
        <v>0</v>
      </c>
      <c r="S143" s="26">
        <v>0</v>
      </c>
      <c r="T143" s="27">
        <f t="shared" si="8"/>
        <v>0</v>
      </c>
    </row>
    <row r="144" spans="1:20" s="1" customFormat="1">
      <c r="A144" s="3">
        <v>10960</v>
      </c>
      <c r="B144" s="3" t="s">
        <v>262</v>
      </c>
      <c r="C144" s="10"/>
      <c r="D144" s="10">
        <v>2159.8000000000002</v>
      </c>
      <c r="E144" s="11"/>
      <c r="F144" s="18"/>
      <c r="G144" s="11"/>
      <c r="H144" s="11"/>
      <c r="I144" s="18"/>
      <c r="J144" s="11"/>
      <c r="K144" s="11"/>
      <c r="L144" s="12">
        <v>2159.8000000000002</v>
      </c>
      <c r="M144" s="25">
        <v>2159.8000000000002</v>
      </c>
      <c r="N144" s="26">
        <f>L144-M144</f>
        <v>0</v>
      </c>
      <c r="O144" s="26">
        <v>0</v>
      </c>
      <c r="P144" s="26">
        <f t="shared" si="9"/>
        <v>0</v>
      </c>
      <c r="Q144" s="26">
        <v>0</v>
      </c>
      <c r="R144" s="26">
        <f t="shared" si="7"/>
        <v>0</v>
      </c>
      <c r="S144" s="26">
        <v>0</v>
      </c>
      <c r="T144" s="27">
        <f t="shared" si="8"/>
        <v>0</v>
      </c>
    </row>
    <row r="145" spans="1:20" s="1" customFormat="1">
      <c r="A145" s="3">
        <v>11038</v>
      </c>
      <c r="B145" s="3" t="s">
        <v>96</v>
      </c>
      <c r="C145" s="10">
        <v>70748.350000000006</v>
      </c>
      <c r="D145" s="10"/>
      <c r="E145" s="11"/>
      <c r="F145" s="18"/>
      <c r="G145" s="11"/>
      <c r="H145" s="11"/>
      <c r="I145" s="18"/>
      <c r="J145" s="11"/>
      <c r="K145" s="11"/>
      <c r="L145" s="12">
        <v>70748.350000000006</v>
      </c>
      <c r="M145" s="25">
        <v>61355</v>
      </c>
      <c r="N145" s="26">
        <f>L145-M145</f>
        <v>9393.3500000000058</v>
      </c>
      <c r="O145" s="26">
        <v>0</v>
      </c>
      <c r="P145" s="26">
        <f t="shared" si="9"/>
        <v>0</v>
      </c>
      <c r="Q145" s="26">
        <v>0</v>
      </c>
      <c r="R145" s="26">
        <f t="shared" si="7"/>
        <v>0</v>
      </c>
      <c r="S145" s="26">
        <v>0</v>
      </c>
      <c r="T145" s="27">
        <f t="shared" si="8"/>
        <v>0</v>
      </c>
    </row>
    <row r="146" spans="1:20" s="1" customFormat="1">
      <c r="A146" s="3">
        <v>11112</v>
      </c>
      <c r="B146" s="3" t="s">
        <v>68</v>
      </c>
      <c r="C146" s="10">
        <v>107867.94</v>
      </c>
      <c r="D146" s="10"/>
      <c r="E146" s="11"/>
      <c r="F146" s="18"/>
      <c r="G146" s="11"/>
      <c r="H146" s="11"/>
      <c r="I146" s="18"/>
      <c r="J146" s="11"/>
      <c r="K146" s="11"/>
      <c r="L146" s="12">
        <v>107867.94</v>
      </c>
      <c r="M146" s="25">
        <v>107867.94</v>
      </c>
      <c r="N146" s="26">
        <f>L146-M146</f>
        <v>0</v>
      </c>
      <c r="O146" s="26">
        <v>0</v>
      </c>
      <c r="P146" s="26">
        <f t="shared" si="9"/>
        <v>0</v>
      </c>
      <c r="Q146" s="26">
        <v>0</v>
      </c>
      <c r="R146" s="26">
        <f t="shared" si="7"/>
        <v>0</v>
      </c>
      <c r="S146" s="26">
        <v>0</v>
      </c>
      <c r="T146" s="27">
        <f t="shared" si="8"/>
        <v>0</v>
      </c>
    </row>
    <row r="147" spans="1:20" s="1" customFormat="1">
      <c r="A147" s="3">
        <v>11172</v>
      </c>
      <c r="B147" s="3" t="s">
        <v>175</v>
      </c>
      <c r="C147" s="10">
        <v>511.5</v>
      </c>
      <c r="D147" s="10">
        <v>15692.3</v>
      </c>
      <c r="E147" s="11"/>
      <c r="F147" s="18"/>
      <c r="G147" s="11"/>
      <c r="H147" s="11"/>
      <c r="I147" s="18"/>
      <c r="J147" s="11"/>
      <c r="K147" s="11"/>
      <c r="L147" s="12">
        <v>16203.8</v>
      </c>
      <c r="M147" s="25">
        <v>16203.8</v>
      </c>
      <c r="N147" s="26">
        <f>L147-M147</f>
        <v>0</v>
      </c>
      <c r="O147" s="26">
        <v>0</v>
      </c>
      <c r="P147" s="26">
        <f t="shared" si="9"/>
        <v>0</v>
      </c>
      <c r="Q147" s="26">
        <v>0</v>
      </c>
      <c r="R147" s="26">
        <f t="shared" si="7"/>
        <v>0</v>
      </c>
      <c r="S147" s="26">
        <v>0</v>
      </c>
      <c r="T147" s="27">
        <f t="shared" si="8"/>
        <v>0</v>
      </c>
    </row>
    <row r="148" spans="1:20" s="1" customFormat="1">
      <c r="A148" s="3">
        <v>11279</v>
      </c>
      <c r="B148" s="3" t="s">
        <v>109</v>
      </c>
      <c r="C148" s="10">
        <v>1100</v>
      </c>
      <c r="D148" s="10">
        <v>42878</v>
      </c>
      <c r="E148" s="11"/>
      <c r="F148" s="18"/>
      <c r="G148" s="11"/>
      <c r="H148" s="11"/>
      <c r="I148" s="18"/>
      <c r="J148" s="11"/>
      <c r="K148" s="11"/>
      <c r="L148" s="12">
        <v>43978</v>
      </c>
      <c r="M148" s="25">
        <v>43978</v>
      </c>
      <c r="N148" s="26">
        <f>L148-M148</f>
        <v>0</v>
      </c>
      <c r="O148" s="26">
        <v>0</v>
      </c>
      <c r="P148" s="26">
        <f t="shared" si="9"/>
        <v>0</v>
      </c>
      <c r="Q148" s="26">
        <v>0</v>
      </c>
      <c r="R148" s="26">
        <f t="shared" si="7"/>
        <v>0</v>
      </c>
      <c r="S148" s="26">
        <v>0</v>
      </c>
      <c r="T148" s="27">
        <f t="shared" si="8"/>
        <v>0</v>
      </c>
    </row>
    <row r="149" spans="1:20" s="1" customFormat="1">
      <c r="A149" s="3">
        <v>11342</v>
      </c>
      <c r="B149" s="3" t="s">
        <v>253</v>
      </c>
      <c r="C149" s="10">
        <v>3317.76</v>
      </c>
      <c r="D149" s="10"/>
      <c r="E149" s="11"/>
      <c r="F149" s="18"/>
      <c r="G149" s="11"/>
      <c r="H149" s="11"/>
      <c r="I149" s="18"/>
      <c r="J149" s="11"/>
      <c r="K149" s="11"/>
      <c r="L149" s="12">
        <v>3317.76</v>
      </c>
      <c r="M149" s="25">
        <v>3317.76</v>
      </c>
      <c r="N149" s="26">
        <f>L149-M149</f>
        <v>0</v>
      </c>
      <c r="O149" s="26">
        <v>0</v>
      </c>
      <c r="P149" s="26">
        <f t="shared" si="9"/>
        <v>0</v>
      </c>
      <c r="Q149" s="26">
        <v>0</v>
      </c>
      <c r="R149" s="26">
        <f t="shared" si="7"/>
        <v>0</v>
      </c>
      <c r="S149" s="26">
        <v>0</v>
      </c>
      <c r="T149" s="27">
        <f t="shared" si="8"/>
        <v>0</v>
      </c>
    </row>
    <row r="150" spans="1:20" s="1" customFormat="1">
      <c r="A150" s="3">
        <v>11435</v>
      </c>
      <c r="B150" s="3" t="s">
        <v>177</v>
      </c>
      <c r="C150" s="10">
        <v>160</v>
      </c>
      <c r="D150" s="10">
        <v>15920</v>
      </c>
      <c r="E150" s="11"/>
      <c r="F150" s="18"/>
      <c r="G150" s="11"/>
      <c r="H150" s="11"/>
      <c r="I150" s="18"/>
      <c r="J150" s="11"/>
      <c r="K150" s="11"/>
      <c r="L150" s="12">
        <v>16080</v>
      </c>
      <c r="M150" s="25">
        <v>16080</v>
      </c>
      <c r="N150" s="26">
        <f>L150-M150</f>
        <v>0</v>
      </c>
      <c r="O150" s="26">
        <v>0</v>
      </c>
      <c r="P150" s="26">
        <f t="shared" si="9"/>
        <v>0</v>
      </c>
      <c r="Q150" s="26">
        <v>0</v>
      </c>
      <c r="R150" s="26">
        <f t="shared" si="7"/>
        <v>0</v>
      </c>
      <c r="S150" s="26">
        <v>0</v>
      </c>
      <c r="T150" s="27">
        <f t="shared" si="8"/>
        <v>0</v>
      </c>
    </row>
    <row r="151" spans="1:20" s="1" customFormat="1">
      <c r="A151" s="3">
        <v>11522</v>
      </c>
      <c r="B151" s="3" t="s">
        <v>33</v>
      </c>
      <c r="C151" s="10">
        <v>213828</v>
      </c>
      <c r="D151" s="10"/>
      <c r="E151" s="11"/>
      <c r="F151" s="18"/>
      <c r="G151" s="11"/>
      <c r="H151" s="11"/>
      <c r="I151" s="18"/>
      <c r="J151" s="11"/>
      <c r="K151" s="11"/>
      <c r="L151" s="12">
        <v>213828</v>
      </c>
      <c r="M151" s="25">
        <v>213828</v>
      </c>
      <c r="N151" s="26">
        <f>L151-M151</f>
        <v>0</v>
      </c>
      <c r="O151" s="26">
        <v>0</v>
      </c>
      <c r="P151" s="26">
        <f t="shared" si="9"/>
        <v>0</v>
      </c>
      <c r="Q151" s="26">
        <v>0</v>
      </c>
      <c r="R151" s="26">
        <f t="shared" si="7"/>
        <v>0</v>
      </c>
      <c r="S151" s="26">
        <v>0</v>
      </c>
      <c r="T151" s="27">
        <f t="shared" si="8"/>
        <v>0</v>
      </c>
    </row>
    <row r="152" spans="1:20" s="1" customFormat="1">
      <c r="A152" s="3">
        <v>11533</v>
      </c>
      <c r="B152" s="3" t="s">
        <v>149</v>
      </c>
      <c r="C152" s="10">
        <v>23912</v>
      </c>
      <c r="D152" s="10"/>
      <c r="E152" s="11"/>
      <c r="F152" s="18"/>
      <c r="G152" s="11"/>
      <c r="H152" s="11"/>
      <c r="I152" s="18"/>
      <c r="J152" s="11"/>
      <c r="K152" s="11"/>
      <c r="L152" s="12">
        <v>23912</v>
      </c>
      <c r="M152" s="25">
        <v>23912</v>
      </c>
      <c r="N152" s="26">
        <f>L152-M152</f>
        <v>0</v>
      </c>
      <c r="O152" s="26">
        <v>0</v>
      </c>
      <c r="P152" s="26">
        <f t="shared" si="9"/>
        <v>0</v>
      </c>
      <c r="Q152" s="26">
        <v>0</v>
      </c>
      <c r="R152" s="26">
        <f t="shared" si="7"/>
        <v>0</v>
      </c>
      <c r="S152" s="26">
        <v>0</v>
      </c>
      <c r="T152" s="27">
        <f t="shared" si="8"/>
        <v>0</v>
      </c>
    </row>
    <row r="153" spans="1:20" s="1" customFormat="1">
      <c r="A153" s="3">
        <v>11535</v>
      </c>
      <c r="B153" s="3" t="s">
        <v>202</v>
      </c>
      <c r="C153" s="10">
        <v>10950</v>
      </c>
      <c r="D153" s="10"/>
      <c r="E153" s="11"/>
      <c r="F153" s="18"/>
      <c r="G153" s="11"/>
      <c r="H153" s="11"/>
      <c r="I153" s="18"/>
      <c r="J153" s="11"/>
      <c r="K153" s="11"/>
      <c r="L153" s="12">
        <v>10950</v>
      </c>
      <c r="M153" s="25">
        <v>10950</v>
      </c>
      <c r="N153" s="26">
        <f>L153-M153</f>
        <v>0</v>
      </c>
      <c r="O153" s="26">
        <v>0</v>
      </c>
      <c r="P153" s="26">
        <f t="shared" si="9"/>
        <v>0</v>
      </c>
      <c r="Q153" s="26">
        <v>0</v>
      </c>
      <c r="R153" s="26">
        <f t="shared" si="7"/>
        <v>0</v>
      </c>
      <c r="S153" s="26">
        <v>0</v>
      </c>
      <c r="T153" s="27">
        <f t="shared" si="8"/>
        <v>0</v>
      </c>
    </row>
    <row r="154" spans="1:20" s="1" customFormat="1">
      <c r="A154" s="3">
        <v>11620</v>
      </c>
      <c r="B154" s="3" t="s">
        <v>192</v>
      </c>
      <c r="C154" s="10">
        <v>12833.69</v>
      </c>
      <c r="D154" s="10"/>
      <c r="E154" s="11"/>
      <c r="F154" s="18"/>
      <c r="G154" s="11"/>
      <c r="H154" s="11"/>
      <c r="I154" s="18"/>
      <c r="J154" s="11"/>
      <c r="K154" s="11"/>
      <c r="L154" s="12">
        <v>12833.69</v>
      </c>
      <c r="M154" s="25">
        <v>12833.69</v>
      </c>
      <c r="N154" s="26">
        <f>L154-M154</f>
        <v>0</v>
      </c>
      <c r="O154" s="26">
        <v>0</v>
      </c>
      <c r="P154" s="26">
        <f t="shared" si="9"/>
        <v>0</v>
      </c>
      <c r="Q154" s="26">
        <v>0</v>
      </c>
      <c r="R154" s="26">
        <f t="shared" si="7"/>
        <v>0</v>
      </c>
      <c r="S154" s="26">
        <v>0</v>
      </c>
      <c r="T154" s="27">
        <f t="shared" si="8"/>
        <v>0</v>
      </c>
    </row>
    <row r="155" spans="1:20" s="1" customFormat="1">
      <c r="A155" s="3">
        <v>11645</v>
      </c>
      <c r="B155" s="3" t="s">
        <v>142</v>
      </c>
      <c r="C155" s="10">
        <v>25389</v>
      </c>
      <c r="D155" s="10"/>
      <c r="E155" s="11"/>
      <c r="F155" s="18"/>
      <c r="G155" s="11"/>
      <c r="H155" s="11"/>
      <c r="I155" s="18"/>
      <c r="J155" s="11">
        <v>-136.5</v>
      </c>
      <c r="K155" s="11"/>
      <c r="L155" s="12">
        <v>25252.5</v>
      </c>
      <c r="M155" s="25">
        <v>25389</v>
      </c>
      <c r="N155" s="26">
        <f>L155-M155</f>
        <v>-136.5</v>
      </c>
      <c r="O155" s="26">
        <v>136.5</v>
      </c>
      <c r="P155" s="26">
        <f t="shared" si="9"/>
        <v>0</v>
      </c>
      <c r="Q155" s="26">
        <v>0</v>
      </c>
      <c r="R155" s="26">
        <f t="shared" si="7"/>
        <v>0</v>
      </c>
      <c r="S155" s="26">
        <v>0</v>
      </c>
      <c r="T155" s="27">
        <f t="shared" si="8"/>
        <v>0</v>
      </c>
    </row>
    <row r="156" spans="1:20" s="1" customFormat="1">
      <c r="A156" s="3">
        <v>11690</v>
      </c>
      <c r="B156" s="3" t="s">
        <v>259</v>
      </c>
      <c r="C156" s="10"/>
      <c r="D156" s="10"/>
      <c r="E156" s="11">
        <v>2500</v>
      </c>
      <c r="F156" s="18"/>
      <c r="G156" s="11"/>
      <c r="H156" s="11"/>
      <c r="I156" s="18"/>
      <c r="J156" s="11"/>
      <c r="K156" s="11"/>
      <c r="L156" s="12">
        <v>2500</v>
      </c>
      <c r="M156" s="25">
        <v>2500</v>
      </c>
      <c r="N156" s="26">
        <f>L156-M156</f>
        <v>0</v>
      </c>
      <c r="O156" s="26">
        <v>0</v>
      </c>
      <c r="P156" s="26">
        <f t="shared" si="9"/>
        <v>0</v>
      </c>
      <c r="Q156" s="26">
        <v>0</v>
      </c>
      <c r="R156" s="26">
        <f t="shared" si="7"/>
        <v>0</v>
      </c>
      <c r="S156" s="26">
        <v>0</v>
      </c>
      <c r="T156" s="27">
        <f t="shared" si="8"/>
        <v>0</v>
      </c>
    </row>
    <row r="157" spans="1:20" s="1" customFormat="1">
      <c r="A157" s="3">
        <v>11898</v>
      </c>
      <c r="B157" s="3" t="s">
        <v>171</v>
      </c>
      <c r="C157" s="10">
        <v>16943.84</v>
      </c>
      <c r="D157" s="10"/>
      <c r="E157" s="11"/>
      <c r="F157" s="18"/>
      <c r="G157" s="11"/>
      <c r="H157" s="11"/>
      <c r="I157" s="18"/>
      <c r="J157" s="11">
        <v>-573.20000000000005</v>
      </c>
      <c r="K157" s="11"/>
      <c r="L157" s="12">
        <v>16370.64</v>
      </c>
      <c r="M157" s="25">
        <v>16943.84</v>
      </c>
      <c r="N157" s="26">
        <f>L157-M157</f>
        <v>-573.20000000000073</v>
      </c>
      <c r="O157" s="26">
        <v>573.20000000000005</v>
      </c>
      <c r="P157" s="26">
        <f t="shared" si="9"/>
        <v>0</v>
      </c>
      <c r="Q157" s="26">
        <v>816.9</v>
      </c>
      <c r="R157" s="26">
        <f t="shared" si="7"/>
        <v>816.9</v>
      </c>
      <c r="S157" s="26">
        <v>0</v>
      </c>
      <c r="T157" s="27">
        <f t="shared" si="8"/>
        <v>0</v>
      </c>
    </row>
    <row r="158" spans="1:20" s="1" customFormat="1">
      <c r="A158" s="3">
        <v>11923</v>
      </c>
      <c r="B158" s="3" t="s">
        <v>158</v>
      </c>
      <c r="C158" s="10">
        <v>21901.73</v>
      </c>
      <c r="D158" s="10"/>
      <c r="E158" s="11"/>
      <c r="F158" s="18"/>
      <c r="G158" s="11"/>
      <c r="H158" s="11"/>
      <c r="I158" s="18">
        <v>-302.68</v>
      </c>
      <c r="J158" s="11"/>
      <c r="K158" s="11"/>
      <c r="L158" s="12">
        <v>21599.05</v>
      </c>
      <c r="M158" s="25">
        <v>20565</v>
      </c>
      <c r="N158" s="26">
        <f>L158-M158</f>
        <v>1034.0499999999993</v>
      </c>
      <c r="O158" s="26">
        <v>0</v>
      </c>
      <c r="P158" s="26">
        <f t="shared" si="9"/>
        <v>0</v>
      </c>
      <c r="Q158" s="26">
        <v>0</v>
      </c>
      <c r="R158" s="26">
        <f t="shared" si="7"/>
        <v>0</v>
      </c>
      <c r="S158" s="26">
        <v>0</v>
      </c>
      <c r="T158" s="27">
        <f t="shared" si="8"/>
        <v>0</v>
      </c>
    </row>
    <row r="159" spans="1:20" s="1" customFormat="1">
      <c r="A159" s="3">
        <v>11947</v>
      </c>
      <c r="B159" s="3" t="s">
        <v>179</v>
      </c>
      <c r="C159" s="10">
        <v>15825.6</v>
      </c>
      <c r="D159" s="10"/>
      <c r="E159" s="11"/>
      <c r="F159" s="18"/>
      <c r="G159" s="11"/>
      <c r="H159" s="11"/>
      <c r="I159" s="18"/>
      <c r="J159" s="11"/>
      <c r="K159" s="11"/>
      <c r="L159" s="12">
        <v>15825.6</v>
      </c>
      <c r="M159" s="25">
        <v>15825.6</v>
      </c>
      <c r="N159" s="26">
        <f>L159-M159</f>
        <v>0</v>
      </c>
      <c r="O159" s="26">
        <v>0</v>
      </c>
      <c r="P159" s="26">
        <f t="shared" si="9"/>
        <v>0</v>
      </c>
      <c r="Q159" s="26">
        <v>0</v>
      </c>
      <c r="R159" s="26">
        <f t="shared" si="7"/>
        <v>0</v>
      </c>
      <c r="S159" s="26">
        <v>0</v>
      </c>
      <c r="T159" s="27">
        <f t="shared" si="8"/>
        <v>0</v>
      </c>
    </row>
    <row r="160" spans="1:20" s="1" customFormat="1">
      <c r="A160" s="3">
        <v>11970</v>
      </c>
      <c r="B160" s="3" t="s">
        <v>176</v>
      </c>
      <c r="C160" s="10">
        <v>16143.75</v>
      </c>
      <c r="D160" s="10"/>
      <c r="E160" s="11"/>
      <c r="F160" s="18"/>
      <c r="G160" s="11"/>
      <c r="H160" s="11"/>
      <c r="I160" s="18"/>
      <c r="J160" s="11"/>
      <c r="K160" s="11"/>
      <c r="L160" s="12">
        <v>16143.75</v>
      </c>
      <c r="M160" s="25">
        <v>16143.75</v>
      </c>
      <c r="N160" s="26">
        <f>L160-M160</f>
        <v>0</v>
      </c>
      <c r="O160" s="26">
        <v>0</v>
      </c>
      <c r="P160" s="26">
        <f t="shared" si="9"/>
        <v>0</v>
      </c>
      <c r="Q160" s="26">
        <v>0</v>
      </c>
      <c r="R160" s="26">
        <f t="shared" si="7"/>
        <v>0</v>
      </c>
      <c r="S160" s="26">
        <v>0</v>
      </c>
      <c r="T160" s="27">
        <f t="shared" si="8"/>
        <v>0</v>
      </c>
    </row>
    <row r="161" spans="1:20" s="1" customFormat="1">
      <c r="A161" s="3">
        <v>11977</v>
      </c>
      <c r="B161" s="3" t="s">
        <v>184</v>
      </c>
      <c r="C161" s="10">
        <v>14830.08</v>
      </c>
      <c r="D161" s="10"/>
      <c r="E161" s="11"/>
      <c r="F161" s="18"/>
      <c r="G161" s="11"/>
      <c r="H161" s="11"/>
      <c r="I161" s="18"/>
      <c r="J161" s="11">
        <v>-4599.01</v>
      </c>
      <c r="K161" s="11"/>
      <c r="L161" s="12">
        <v>10231.07</v>
      </c>
      <c r="M161" s="25">
        <v>14830.08</v>
      </c>
      <c r="N161" s="26">
        <f>L161-M161</f>
        <v>-4599.01</v>
      </c>
      <c r="O161" s="26">
        <v>4599.01</v>
      </c>
      <c r="P161" s="26">
        <f t="shared" si="9"/>
        <v>0</v>
      </c>
      <c r="Q161" s="26">
        <v>0</v>
      </c>
      <c r="R161" s="26">
        <f t="shared" si="7"/>
        <v>0</v>
      </c>
      <c r="S161" s="26">
        <v>0</v>
      </c>
      <c r="T161" s="27">
        <f t="shared" si="8"/>
        <v>0</v>
      </c>
    </row>
    <row r="162" spans="1:20" s="1" customFormat="1">
      <c r="A162" s="3">
        <v>12034</v>
      </c>
      <c r="B162" s="3" t="s">
        <v>263</v>
      </c>
      <c r="C162" s="10">
        <v>1650</v>
      </c>
      <c r="D162" s="10"/>
      <c r="E162" s="11"/>
      <c r="F162" s="18"/>
      <c r="G162" s="11"/>
      <c r="H162" s="11"/>
      <c r="I162" s="18"/>
      <c r="J162" s="11"/>
      <c r="K162" s="11"/>
      <c r="L162" s="12">
        <v>1650</v>
      </c>
      <c r="M162" s="25">
        <v>1650</v>
      </c>
      <c r="N162" s="26">
        <f>L162-M162</f>
        <v>0</v>
      </c>
      <c r="O162" s="26">
        <v>0</v>
      </c>
      <c r="P162" s="26">
        <f t="shared" si="9"/>
        <v>0</v>
      </c>
      <c r="Q162" s="26">
        <v>0</v>
      </c>
      <c r="R162" s="26">
        <f t="shared" si="7"/>
        <v>0</v>
      </c>
      <c r="S162" s="26">
        <v>0</v>
      </c>
      <c r="T162" s="27">
        <f t="shared" si="8"/>
        <v>0</v>
      </c>
    </row>
    <row r="163" spans="1:20" s="1" customFormat="1">
      <c r="A163" s="3">
        <v>12142</v>
      </c>
      <c r="B163" s="3" t="s">
        <v>70</v>
      </c>
      <c r="C163" s="10">
        <v>99736.44</v>
      </c>
      <c r="D163" s="10"/>
      <c r="E163" s="11"/>
      <c r="F163" s="18"/>
      <c r="G163" s="11"/>
      <c r="H163" s="11"/>
      <c r="I163" s="18"/>
      <c r="J163" s="11">
        <v>-10386.44</v>
      </c>
      <c r="K163" s="11"/>
      <c r="L163" s="12">
        <v>89350</v>
      </c>
      <c r="M163" s="25">
        <v>99736.44</v>
      </c>
      <c r="N163" s="26">
        <f>L163-M163</f>
        <v>-10386.440000000002</v>
      </c>
      <c r="O163" s="26">
        <v>10338.44</v>
      </c>
      <c r="P163" s="26">
        <f t="shared" si="9"/>
        <v>-48</v>
      </c>
      <c r="Q163" s="26">
        <v>0</v>
      </c>
      <c r="R163" s="26">
        <f t="shared" si="7"/>
        <v>0</v>
      </c>
      <c r="S163" s="26">
        <v>0</v>
      </c>
      <c r="T163" s="27">
        <f t="shared" si="8"/>
        <v>0</v>
      </c>
    </row>
    <row r="164" spans="1:20" s="1" customFormat="1">
      <c r="A164" s="3">
        <v>12150</v>
      </c>
      <c r="B164" s="3" t="s">
        <v>113</v>
      </c>
      <c r="C164" s="10">
        <v>41628.959999999999</v>
      </c>
      <c r="D164" s="10"/>
      <c r="E164" s="11"/>
      <c r="F164" s="18"/>
      <c r="G164" s="11"/>
      <c r="H164" s="11"/>
      <c r="I164" s="18"/>
      <c r="J164" s="11">
        <v>-44.76</v>
      </c>
      <c r="K164" s="11"/>
      <c r="L164" s="12">
        <v>41584.199999999997</v>
      </c>
      <c r="M164" s="25">
        <v>41628.959999999999</v>
      </c>
      <c r="N164" s="26">
        <f>L164-M164</f>
        <v>-44.760000000002037</v>
      </c>
      <c r="O164" s="26">
        <v>44.76</v>
      </c>
      <c r="P164" s="26">
        <f t="shared" si="9"/>
        <v>0</v>
      </c>
      <c r="Q164" s="26">
        <v>836.4</v>
      </c>
      <c r="R164" s="26">
        <f t="shared" si="7"/>
        <v>836.4</v>
      </c>
      <c r="S164" s="26">
        <v>0</v>
      </c>
      <c r="T164" s="27">
        <f t="shared" si="8"/>
        <v>0</v>
      </c>
    </row>
    <row r="165" spans="1:20" s="1" customFormat="1">
      <c r="A165" s="3">
        <v>12153</v>
      </c>
      <c r="B165" s="3" t="s">
        <v>141</v>
      </c>
      <c r="C165" s="10">
        <v>26575.9</v>
      </c>
      <c r="D165" s="10"/>
      <c r="E165" s="11"/>
      <c r="F165" s="18"/>
      <c r="G165" s="11"/>
      <c r="H165" s="11"/>
      <c r="I165" s="18"/>
      <c r="J165" s="11"/>
      <c r="K165" s="11"/>
      <c r="L165" s="12">
        <v>26575.9</v>
      </c>
      <c r="M165" s="25">
        <v>25743.62</v>
      </c>
      <c r="N165" s="26">
        <f>L165-M165</f>
        <v>832.28000000000247</v>
      </c>
      <c r="O165" s="26">
        <v>0</v>
      </c>
      <c r="P165" s="26">
        <f t="shared" si="9"/>
        <v>0</v>
      </c>
      <c r="Q165" s="26">
        <v>0</v>
      </c>
      <c r="R165" s="26">
        <f t="shared" si="7"/>
        <v>0</v>
      </c>
      <c r="S165" s="26">
        <v>0</v>
      </c>
      <c r="T165" s="27">
        <f t="shared" si="8"/>
        <v>0</v>
      </c>
    </row>
    <row r="166" spans="1:20" s="1" customFormat="1">
      <c r="A166" s="3">
        <v>12167</v>
      </c>
      <c r="B166" s="3" t="s">
        <v>6</v>
      </c>
      <c r="C166" s="10">
        <v>1511067.18</v>
      </c>
      <c r="D166" s="10"/>
      <c r="E166" s="11"/>
      <c r="F166" s="18">
        <v>52649.1</v>
      </c>
      <c r="G166" s="11"/>
      <c r="H166" s="11">
        <v>1342.04</v>
      </c>
      <c r="I166" s="18"/>
      <c r="J166" s="11">
        <v>-11072.75</v>
      </c>
      <c r="K166" s="11"/>
      <c r="L166" s="12">
        <v>1553985.57</v>
      </c>
      <c r="M166" s="25">
        <v>1489730.98</v>
      </c>
      <c r="N166" s="26">
        <f>L166-M166</f>
        <v>64254.590000000084</v>
      </c>
      <c r="O166" s="26">
        <v>11107.92</v>
      </c>
      <c r="P166" s="26">
        <f t="shared" si="9"/>
        <v>35.170000000000073</v>
      </c>
      <c r="Q166" s="26">
        <v>52649.1</v>
      </c>
      <c r="R166" s="26">
        <f t="shared" si="7"/>
        <v>52649.1</v>
      </c>
      <c r="S166" s="26">
        <v>0</v>
      </c>
      <c r="T166" s="27">
        <f t="shared" si="8"/>
        <v>52649.1</v>
      </c>
    </row>
    <row r="167" spans="1:20" s="1" customFormat="1">
      <c r="A167" s="3">
        <v>12257</v>
      </c>
      <c r="B167" s="3" t="s">
        <v>112</v>
      </c>
      <c r="C167" s="10">
        <v>42455.38</v>
      </c>
      <c r="D167" s="10"/>
      <c r="E167" s="11"/>
      <c r="F167" s="18"/>
      <c r="G167" s="11"/>
      <c r="H167" s="11"/>
      <c r="I167" s="18"/>
      <c r="J167" s="11"/>
      <c r="K167" s="11">
        <v>-2241.39</v>
      </c>
      <c r="L167" s="12">
        <v>40213.99</v>
      </c>
      <c r="M167" s="25">
        <v>42455.38</v>
      </c>
      <c r="N167" s="26">
        <f>L167-M167</f>
        <v>-2241.3899999999994</v>
      </c>
      <c r="O167" s="26">
        <v>0</v>
      </c>
      <c r="P167" s="26">
        <f t="shared" si="9"/>
        <v>0</v>
      </c>
      <c r="Q167" s="26">
        <v>0</v>
      </c>
      <c r="R167" s="26">
        <f t="shared" si="7"/>
        <v>-2241.39</v>
      </c>
      <c r="S167" s="26">
        <v>2231.0500000000002</v>
      </c>
      <c r="T167" s="27">
        <f t="shared" si="8"/>
        <v>-2231.0500000000002</v>
      </c>
    </row>
    <row r="168" spans="1:20" s="1" customFormat="1">
      <c r="A168" s="3">
        <v>12366</v>
      </c>
      <c r="B168" s="3" t="s">
        <v>272</v>
      </c>
      <c r="C168" s="10">
        <v>546.74</v>
      </c>
      <c r="D168" s="10"/>
      <c r="E168" s="11"/>
      <c r="F168" s="18"/>
      <c r="G168" s="11"/>
      <c r="H168" s="11"/>
      <c r="I168" s="18"/>
      <c r="J168" s="11"/>
      <c r="K168" s="11"/>
      <c r="L168" s="12">
        <v>546.74</v>
      </c>
      <c r="M168" s="25">
        <v>547.32000000000005</v>
      </c>
      <c r="N168" s="26">
        <f>L168-M168</f>
        <v>-0.58000000000004093</v>
      </c>
      <c r="O168" s="26">
        <v>0</v>
      </c>
      <c r="P168" s="26">
        <f t="shared" si="9"/>
        <v>0</v>
      </c>
      <c r="Q168" s="26">
        <v>0</v>
      </c>
      <c r="R168" s="26">
        <f t="shared" si="7"/>
        <v>0</v>
      </c>
      <c r="S168" s="26">
        <v>0</v>
      </c>
      <c r="T168" s="27">
        <f t="shared" si="8"/>
        <v>0</v>
      </c>
    </row>
    <row r="169" spans="1:20" s="1" customFormat="1">
      <c r="A169" s="3">
        <v>12447</v>
      </c>
      <c r="B169" s="3" t="s">
        <v>252</v>
      </c>
      <c r="C169" s="10">
        <v>3402.3</v>
      </c>
      <c r="D169" s="10"/>
      <c r="E169" s="11"/>
      <c r="F169" s="18"/>
      <c r="G169" s="11"/>
      <c r="H169" s="11"/>
      <c r="I169" s="18"/>
      <c r="J169" s="11">
        <v>-172.08</v>
      </c>
      <c r="K169" s="11">
        <v>-189.64</v>
      </c>
      <c r="L169" s="12">
        <v>3040.5800000000004</v>
      </c>
      <c r="M169" s="25">
        <v>3402.3</v>
      </c>
      <c r="N169" s="26">
        <f>L169-M169</f>
        <v>-361.7199999999998</v>
      </c>
      <c r="O169" s="26">
        <v>172.08</v>
      </c>
      <c r="P169" s="26">
        <f t="shared" si="9"/>
        <v>0</v>
      </c>
      <c r="Q169" s="26">
        <v>0</v>
      </c>
      <c r="R169" s="26">
        <f t="shared" si="7"/>
        <v>-189.64</v>
      </c>
      <c r="S169" s="26">
        <v>189.64</v>
      </c>
      <c r="T169" s="27">
        <f t="shared" si="8"/>
        <v>-189.64</v>
      </c>
    </row>
    <row r="170" spans="1:20" s="1" customFormat="1">
      <c r="A170" s="3">
        <v>12518</v>
      </c>
      <c r="B170" s="3" t="s">
        <v>122</v>
      </c>
      <c r="C170" s="10">
        <v>35370.6</v>
      </c>
      <c r="D170" s="10"/>
      <c r="E170" s="11"/>
      <c r="F170" s="18"/>
      <c r="G170" s="11"/>
      <c r="H170" s="11"/>
      <c r="I170" s="18"/>
      <c r="J170" s="11"/>
      <c r="K170" s="11"/>
      <c r="L170" s="12">
        <v>35370.6</v>
      </c>
      <c r="M170" s="25">
        <v>35370.6</v>
      </c>
      <c r="N170" s="26">
        <f>L170-M170</f>
        <v>0</v>
      </c>
      <c r="O170" s="26">
        <v>0</v>
      </c>
      <c r="P170" s="26">
        <f t="shared" si="9"/>
        <v>0</v>
      </c>
      <c r="Q170" s="26">
        <v>0</v>
      </c>
      <c r="R170" s="26">
        <f t="shared" si="7"/>
        <v>0</v>
      </c>
      <c r="S170" s="26">
        <v>0</v>
      </c>
      <c r="T170" s="27">
        <f t="shared" si="8"/>
        <v>0</v>
      </c>
    </row>
    <row r="171" spans="1:20" s="1" customFormat="1">
      <c r="A171" s="3">
        <v>12581</v>
      </c>
      <c r="B171" s="3" t="s">
        <v>137</v>
      </c>
      <c r="C171" s="10">
        <v>27203.7</v>
      </c>
      <c r="D171" s="10"/>
      <c r="E171" s="11"/>
      <c r="F171" s="18"/>
      <c r="G171" s="11"/>
      <c r="H171" s="11"/>
      <c r="I171" s="18"/>
      <c r="J171" s="11"/>
      <c r="K171" s="11">
        <v>-2410.14</v>
      </c>
      <c r="L171" s="12">
        <v>24793.56</v>
      </c>
      <c r="M171" s="25">
        <v>27203.7</v>
      </c>
      <c r="N171" s="26">
        <f>L171-M171</f>
        <v>-2410.1399999999994</v>
      </c>
      <c r="O171" s="26">
        <v>0</v>
      </c>
      <c r="P171" s="26">
        <f t="shared" si="9"/>
        <v>0</v>
      </c>
      <c r="Q171" s="26">
        <v>0</v>
      </c>
      <c r="R171" s="26">
        <f t="shared" si="7"/>
        <v>-2410.14</v>
      </c>
      <c r="S171" s="26">
        <v>2410.14</v>
      </c>
      <c r="T171" s="27">
        <f t="shared" si="8"/>
        <v>-2410.14</v>
      </c>
    </row>
    <row r="172" spans="1:20" s="1" customFormat="1">
      <c r="A172" s="3">
        <v>12592</v>
      </c>
      <c r="B172" s="3" t="s">
        <v>49</v>
      </c>
      <c r="C172" s="10">
        <v>146285.25</v>
      </c>
      <c r="D172" s="10"/>
      <c r="E172" s="11"/>
      <c r="F172" s="18"/>
      <c r="G172" s="11"/>
      <c r="H172" s="11"/>
      <c r="I172" s="18"/>
      <c r="J172" s="11">
        <v>-965.17</v>
      </c>
      <c r="K172" s="11">
        <v>-373.74</v>
      </c>
      <c r="L172" s="12">
        <v>144946.34</v>
      </c>
      <c r="M172" s="25">
        <v>146285.25</v>
      </c>
      <c r="N172" s="26">
        <f>L172-M172</f>
        <v>-1338.9100000000035</v>
      </c>
      <c r="O172" s="26">
        <v>947.85</v>
      </c>
      <c r="P172" s="26">
        <f t="shared" si="9"/>
        <v>-17.319999999999936</v>
      </c>
      <c r="Q172" s="26">
        <v>0</v>
      </c>
      <c r="R172" s="26">
        <f t="shared" si="7"/>
        <v>-373.74</v>
      </c>
      <c r="S172" s="26">
        <v>373.74</v>
      </c>
      <c r="T172" s="27">
        <f t="shared" si="8"/>
        <v>-373.74</v>
      </c>
    </row>
    <row r="173" spans="1:20" s="1" customFormat="1">
      <c r="A173" s="3">
        <v>12743</v>
      </c>
      <c r="B173" s="3" t="s">
        <v>93</v>
      </c>
      <c r="C173" s="10">
        <v>64280</v>
      </c>
      <c r="D173" s="10"/>
      <c r="E173" s="11"/>
      <c r="F173" s="18"/>
      <c r="G173" s="11"/>
      <c r="H173" s="11"/>
      <c r="I173" s="18"/>
      <c r="J173" s="11"/>
      <c r="K173" s="11">
        <v>-703.6</v>
      </c>
      <c r="L173" s="12">
        <v>63576.4</v>
      </c>
      <c r="M173" s="25">
        <v>64280</v>
      </c>
      <c r="N173" s="26">
        <f>L173-M173</f>
        <v>-703.59999999999854</v>
      </c>
      <c r="O173" s="26">
        <v>0</v>
      </c>
      <c r="P173" s="26">
        <f t="shared" si="9"/>
        <v>0</v>
      </c>
      <c r="Q173" s="26">
        <v>623.79999999999995</v>
      </c>
      <c r="R173" s="26">
        <f t="shared" si="7"/>
        <v>-79.800000000000068</v>
      </c>
      <c r="S173" s="26">
        <v>703.6</v>
      </c>
      <c r="T173" s="27">
        <f t="shared" si="8"/>
        <v>-703.6</v>
      </c>
    </row>
    <row r="174" spans="1:20" s="1" customFormat="1">
      <c r="A174" s="3">
        <v>12821</v>
      </c>
      <c r="B174" s="3" t="s">
        <v>201</v>
      </c>
      <c r="C174" s="10">
        <v>11043</v>
      </c>
      <c r="D174" s="10"/>
      <c r="E174" s="11"/>
      <c r="F174" s="18"/>
      <c r="G174" s="11"/>
      <c r="H174" s="11"/>
      <c r="I174" s="18"/>
      <c r="J174" s="11"/>
      <c r="K174" s="11">
        <v>-54.55</v>
      </c>
      <c r="L174" s="12">
        <v>10988.45</v>
      </c>
      <c r="M174" s="25">
        <v>11043</v>
      </c>
      <c r="N174" s="26">
        <f>L174-M174</f>
        <v>-54.549999999999272</v>
      </c>
      <c r="O174" s="26">
        <v>0</v>
      </c>
      <c r="P174" s="26">
        <f t="shared" si="9"/>
        <v>0</v>
      </c>
      <c r="Q174" s="26">
        <v>0</v>
      </c>
      <c r="R174" s="26">
        <f t="shared" si="7"/>
        <v>-54.55</v>
      </c>
      <c r="S174" s="26">
        <v>54.55</v>
      </c>
      <c r="T174" s="27">
        <f t="shared" si="8"/>
        <v>-54.55</v>
      </c>
    </row>
    <row r="175" spans="1:20" s="1" customFormat="1">
      <c r="A175" s="3">
        <v>12822</v>
      </c>
      <c r="B175" s="3" t="s">
        <v>120</v>
      </c>
      <c r="C175" s="10">
        <v>36301.78</v>
      </c>
      <c r="D175" s="10"/>
      <c r="E175" s="11"/>
      <c r="F175" s="18"/>
      <c r="G175" s="11"/>
      <c r="H175" s="11"/>
      <c r="I175" s="18"/>
      <c r="J175" s="11"/>
      <c r="K175" s="11"/>
      <c r="L175" s="12">
        <v>36301.78</v>
      </c>
      <c r="M175" s="25">
        <v>36301.78</v>
      </c>
      <c r="N175" s="26">
        <f>L175-M175</f>
        <v>0</v>
      </c>
      <c r="O175" s="26">
        <v>0</v>
      </c>
      <c r="P175" s="26">
        <f t="shared" si="9"/>
        <v>0</v>
      </c>
      <c r="Q175" s="26">
        <v>0</v>
      </c>
      <c r="R175" s="26">
        <f t="shared" si="7"/>
        <v>0</v>
      </c>
      <c r="S175" s="26">
        <v>0</v>
      </c>
      <c r="T175" s="27">
        <f t="shared" si="8"/>
        <v>0</v>
      </c>
    </row>
    <row r="176" spans="1:20" s="1" customFormat="1">
      <c r="A176" s="3">
        <v>12839</v>
      </c>
      <c r="B176" s="3" t="s">
        <v>77</v>
      </c>
      <c r="C176" s="10">
        <v>98351.41</v>
      </c>
      <c r="D176" s="10"/>
      <c r="E176" s="11"/>
      <c r="F176" s="18"/>
      <c r="G176" s="11"/>
      <c r="H176" s="11"/>
      <c r="I176" s="18"/>
      <c r="J176" s="11"/>
      <c r="K176" s="11"/>
      <c r="L176" s="12">
        <v>98351.41</v>
      </c>
      <c r="M176" s="25">
        <v>86194.75</v>
      </c>
      <c r="N176" s="26">
        <f>L176-M176</f>
        <v>12156.660000000003</v>
      </c>
      <c r="O176" s="26">
        <v>0</v>
      </c>
      <c r="P176" s="26">
        <f t="shared" si="9"/>
        <v>0</v>
      </c>
      <c r="Q176" s="26">
        <v>0</v>
      </c>
      <c r="R176" s="26">
        <f t="shared" si="7"/>
        <v>0</v>
      </c>
      <c r="S176" s="26">
        <v>0</v>
      </c>
      <c r="T176" s="27">
        <f t="shared" si="8"/>
        <v>0</v>
      </c>
    </row>
    <row r="177" spans="1:20" s="1" customFormat="1">
      <c r="A177" s="3">
        <v>13063</v>
      </c>
      <c r="B177" s="3" t="s">
        <v>110</v>
      </c>
      <c r="C177" s="10">
        <v>41952.34</v>
      </c>
      <c r="D177" s="10"/>
      <c r="E177" s="11"/>
      <c r="F177" s="18"/>
      <c r="G177" s="11"/>
      <c r="H177" s="11">
        <v>840.84</v>
      </c>
      <c r="I177" s="18"/>
      <c r="J177" s="11"/>
      <c r="K177" s="11"/>
      <c r="L177" s="12">
        <v>42793.179999999993</v>
      </c>
      <c r="M177" s="25">
        <v>42793.18</v>
      </c>
      <c r="N177" s="26">
        <f>L177-M177</f>
        <v>0</v>
      </c>
      <c r="O177" s="26">
        <v>0</v>
      </c>
      <c r="P177" s="26">
        <f t="shared" si="9"/>
        <v>0</v>
      </c>
      <c r="Q177" s="26">
        <v>79.2</v>
      </c>
      <c r="R177" s="26">
        <f t="shared" si="7"/>
        <v>79.2</v>
      </c>
      <c r="S177" s="26">
        <v>0</v>
      </c>
      <c r="T177" s="27">
        <f t="shared" si="8"/>
        <v>0</v>
      </c>
    </row>
    <row r="178" spans="1:20" s="1" customFormat="1">
      <c r="A178" s="3">
        <v>13087</v>
      </c>
      <c r="B178" s="3" t="s">
        <v>277</v>
      </c>
      <c r="C178" s="10"/>
      <c r="D178" s="10"/>
      <c r="E178" s="11"/>
      <c r="F178" s="18"/>
      <c r="G178" s="11"/>
      <c r="H178" s="11"/>
      <c r="I178" s="18">
        <v>-2929.5</v>
      </c>
      <c r="J178" s="11"/>
      <c r="K178" s="11"/>
      <c r="L178" s="12">
        <v>-2929.5</v>
      </c>
      <c r="M178" s="25">
        <v>0</v>
      </c>
      <c r="N178" s="26">
        <f>L178-M178</f>
        <v>-2929.5</v>
      </c>
      <c r="O178" s="26">
        <v>0</v>
      </c>
      <c r="P178" s="26">
        <f t="shared" si="9"/>
        <v>0</v>
      </c>
      <c r="Q178" s="26">
        <v>0</v>
      </c>
      <c r="R178" s="26">
        <f t="shared" si="7"/>
        <v>0</v>
      </c>
      <c r="S178" s="26">
        <v>0</v>
      </c>
      <c r="T178" s="27">
        <f t="shared" si="8"/>
        <v>0</v>
      </c>
    </row>
    <row r="179" spans="1:20" s="1" customFormat="1">
      <c r="A179" s="3">
        <v>13123</v>
      </c>
      <c r="B179" s="3" t="s">
        <v>191</v>
      </c>
      <c r="C179" s="10">
        <v>14492.02</v>
      </c>
      <c r="D179" s="10"/>
      <c r="E179" s="11"/>
      <c r="F179" s="18"/>
      <c r="G179" s="11"/>
      <c r="H179" s="11"/>
      <c r="I179" s="18"/>
      <c r="J179" s="11"/>
      <c r="K179" s="11"/>
      <c r="L179" s="12">
        <v>14492.02</v>
      </c>
      <c r="M179" s="25">
        <v>13207.86</v>
      </c>
      <c r="N179" s="26">
        <f>L179-M179</f>
        <v>1284.1599999999999</v>
      </c>
      <c r="O179" s="26">
        <v>0</v>
      </c>
      <c r="P179" s="26">
        <f t="shared" si="9"/>
        <v>0</v>
      </c>
      <c r="Q179" s="26">
        <v>0</v>
      </c>
      <c r="R179" s="26">
        <f t="shared" si="7"/>
        <v>0</v>
      </c>
      <c r="S179" s="26">
        <v>0</v>
      </c>
      <c r="T179" s="27">
        <f t="shared" si="8"/>
        <v>0</v>
      </c>
    </row>
    <row r="180" spans="1:20" s="1" customFormat="1">
      <c r="A180" s="3">
        <v>13207</v>
      </c>
      <c r="B180" s="3" t="s">
        <v>244</v>
      </c>
      <c r="C180" s="10">
        <v>4541.08</v>
      </c>
      <c r="D180" s="10"/>
      <c r="E180" s="11"/>
      <c r="F180" s="18"/>
      <c r="G180" s="11"/>
      <c r="H180" s="11"/>
      <c r="I180" s="18"/>
      <c r="J180" s="11">
        <v>-128.4</v>
      </c>
      <c r="K180" s="11"/>
      <c r="L180" s="12">
        <v>4412.68</v>
      </c>
      <c r="M180" s="25">
        <v>4541.08</v>
      </c>
      <c r="N180" s="26">
        <f>L180-M180</f>
        <v>-128.39999999999964</v>
      </c>
      <c r="O180" s="26">
        <v>128.4</v>
      </c>
      <c r="P180" s="26">
        <f t="shared" si="9"/>
        <v>0</v>
      </c>
      <c r="Q180" s="26">
        <v>0</v>
      </c>
      <c r="R180" s="26">
        <f t="shared" si="7"/>
        <v>0</v>
      </c>
      <c r="S180" s="26">
        <v>0</v>
      </c>
      <c r="T180" s="27">
        <f t="shared" si="8"/>
        <v>0</v>
      </c>
    </row>
    <row r="181" spans="1:20" s="1" customFormat="1">
      <c r="A181" s="3">
        <v>13254</v>
      </c>
      <c r="B181" s="3" t="s">
        <v>267</v>
      </c>
      <c r="C181" s="10">
        <v>1237.6099999999999</v>
      </c>
      <c r="D181" s="10"/>
      <c r="E181" s="11"/>
      <c r="F181" s="18"/>
      <c r="G181" s="11"/>
      <c r="H181" s="11"/>
      <c r="I181" s="18"/>
      <c r="J181" s="11"/>
      <c r="K181" s="11"/>
      <c r="L181" s="12">
        <v>1237.6099999999999</v>
      </c>
      <c r="M181" s="25">
        <v>1162.08</v>
      </c>
      <c r="N181" s="26">
        <f>L181-M181</f>
        <v>75.529999999999973</v>
      </c>
      <c r="O181" s="26">
        <v>0</v>
      </c>
      <c r="P181" s="26">
        <f t="shared" si="9"/>
        <v>0</v>
      </c>
      <c r="Q181" s="26">
        <v>673.68</v>
      </c>
      <c r="R181" s="26">
        <f t="shared" si="7"/>
        <v>673.68</v>
      </c>
      <c r="S181" s="26">
        <v>0</v>
      </c>
      <c r="T181" s="27">
        <f t="shared" si="8"/>
        <v>0</v>
      </c>
    </row>
    <row r="182" spans="1:20" s="1" customFormat="1">
      <c r="A182" s="3">
        <v>13291</v>
      </c>
      <c r="B182" s="3" t="s">
        <v>232</v>
      </c>
      <c r="C182" s="10">
        <v>6827.16</v>
      </c>
      <c r="D182" s="10"/>
      <c r="E182" s="11"/>
      <c r="F182" s="18"/>
      <c r="G182" s="11"/>
      <c r="H182" s="11"/>
      <c r="I182" s="18"/>
      <c r="J182" s="11"/>
      <c r="K182" s="11"/>
      <c r="L182" s="12">
        <v>6827.16</v>
      </c>
      <c r="M182" s="25">
        <v>6217.91</v>
      </c>
      <c r="N182" s="26">
        <f>L182-M182</f>
        <v>609.25</v>
      </c>
      <c r="O182" s="26">
        <v>0</v>
      </c>
      <c r="P182" s="26">
        <f t="shared" si="9"/>
        <v>0</v>
      </c>
      <c r="Q182" s="26">
        <v>0</v>
      </c>
      <c r="R182" s="26">
        <f t="shared" si="7"/>
        <v>0</v>
      </c>
      <c r="S182" s="26">
        <v>0</v>
      </c>
      <c r="T182" s="27">
        <f t="shared" si="8"/>
        <v>0</v>
      </c>
    </row>
    <row r="183" spans="1:20" s="1" customFormat="1">
      <c r="A183" s="3">
        <v>13379</v>
      </c>
      <c r="B183" s="3" t="s">
        <v>61</v>
      </c>
      <c r="C183" s="10">
        <v>127472.84</v>
      </c>
      <c r="D183" s="10"/>
      <c r="E183" s="11"/>
      <c r="F183" s="18"/>
      <c r="G183" s="11"/>
      <c r="H183" s="11"/>
      <c r="I183" s="18"/>
      <c r="J183" s="11">
        <v>-27774.45</v>
      </c>
      <c r="K183" s="11"/>
      <c r="L183" s="12">
        <v>99698.39</v>
      </c>
      <c r="M183" s="25">
        <v>127472.84</v>
      </c>
      <c r="N183" s="26">
        <f>L183-M183</f>
        <v>-27774.449999999997</v>
      </c>
      <c r="O183" s="26">
        <v>27758.58</v>
      </c>
      <c r="P183" s="26">
        <f t="shared" si="9"/>
        <v>-15.869999999998981</v>
      </c>
      <c r="Q183" s="26">
        <v>0</v>
      </c>
      <c r="R183" s="26">
        <f t="shared" si="7"/>
        <v>0</v>
      </c>
      <c r="S183" s="26">
        <v>0</v>
      </c>
      <c r="T183" s="27">
        <f t="shared" si="8"/>
        <v>0</v>
      </c>
    </row>
    <row r="184" spans="1:20" s="1" customFormat="1">
      <c r="A184" s="3">
        <v>13385</v>
      </c>
      <c r="B184" s="3" t="s">
        <v>138</v>
      </c>
      <c r="C184" s="10">
        <v>34137.08</v>
      </c>
      <c r="D184" s="10"/>
      <c r="E184" s="11"/>
      <c r="F184" s="18"/>
      <c r="G184" s="11"/>
      <c r="H184" s="11"/>
      <c r="I184" s="18"/>
      <c r="J184" s="11"/>
      <c r="K184" s="11"/>
      <c r="L184" s="12">
        <v>34137.08</v>
      </c>
      <c r="M184" s="25">
        <v>32997.26</v>
      </c>
      <c r="N184" s="26">
        <f>L184-M184</f>
        <v>1139.8199999999997</v>
      </c>
      <c r="O184" s="26">
        <v>0</v>
      </c>
      <c r="P184" s="26">
        <f t="shared" si="9"/>
        <v>0</v>
      </c>
      <c r="Q184" s="26">
        <v>668.4</v>
      </c>
      <c r="R184" s="26">
        <f t="shared" si="7"/>
        <v>668.4</v>
      </c>
      <c r="S184" s="26">
        <v>0</v>
      </c>
      <c r="T184" s="27">
        <f t="shared" si="8"/>
        <v>0</v>
      </c>
    </row>
    <row r="185" spans="1:20" s="1" customFormat="1">
      <c r="A185" s="3">
        <v>13400</v>
      </c>
      <c r="B185" s="3" t="s">
        <v>243</v>
      </c>
      <c r="C185" s="10">
        <v>4606</v>
      </c>
      <c r="D185" s="10"/>
      <c r="E185" s="11"/>
      <c r="F185" s="18"/>
      <c r="G185" s="11"/>
      <c r="H185" s="11"/>
      <c r="I185" s="18"/>
      <c r="J185" s="11"/>
      <c r="K185" s="11"/>
      <c r="L185" s="12">
        <v>4606</v>
      </c>
      <c r="M185" s="25">
        <v>4606</v>
      </c>
      <c r="N185" s="26">
        <f>L185-M185</f>
        <v>0</v>
      </c>
      <c r="O185" s="26">
        <v>0</v>
      </c>
      <c r="P185" s="26">
        <f t="shared" si="9"/>
        <v>0</v>
      </c>
      <c r="Q185" s="26">
        <v>0</v>
      </c>
      <c r="R185" s="26">
        <f t="shared" si="7"/>
        <v>0</v>
      </c>
      <c r="S185" s="26">
        <v>0</v>
      </c>
      <c r="T185" s="27">
        <f t="shared" si="8"/>
        <v>0</v>
      </c>
    </row>
    <row r="186" spans="1:20" s="1" customFormat="1">
      <c r="A186" s="3">
        <v>13406</v>
      </c>
      <c r="B186" s="3" t="s">
        <v>240</v>
      </c>
      <c r="C186" s="10">
        <v>4967.04</v>
      </c>
      <c r="D186" s="10"/>
      <c r="E186" s="11"/>
      <c r="F186" s="18"/>
      <c r="G186" s="11"/>
      <c r="H186" s="11"/>
      <c r="I186" s="18"/>
      <c r="J186" s="11"/>
      <c r="K186" s="11"/>
      <c r="L186" s="12">
        <v>4967.04</v>
      </c>
      <c r="M186" s="25">
        <v>4967.04</v>
      </c>
      <c r="N186" s="26">
        <f>L186-M186</f>
        <v>0</v>
      </c>
      <c r="O186" s="26">
        <v>0</v>
      </c>
      <c r="P186" s="26">
        <f t="shared" si="9"/>
        <v>0</v>
      </c>
      <c r="Q186" s="26">
        <v>0</v>
      </c>
      <c r="R186" s="26">
        <f t="shared" si="7"/>
        <v>0</v>
      </c>
      <c r="S186" s="26">
        <v>0</v>
      </c>
      <c r="T186" s="27">
        <f t="shared" si="8"/>
        <v>0</v>
      </c>
    </row>
    <row r="187" spans="1:20" s="1" customFormat="1">
      <c r="A187" s="3">
        <v>13416</v>
      </c>
      <c r="B187" s="3" t="s">
        <v>37</v>
      </c>
      <c r="C187" s="10">
        <v>201310.2</v>
      </c>
      <c r="D187" s="10"/>
      <c r="E187" s="11"/>
      <c r="F187" s="18"/>
      <c r="G187" s="11"/>
      <c r="H187" s="11"/>
      <c r="I187" s="18"/>
      <c r="J187" s="11"/>
      <c r="K187" s="11"/>
      <c r="L187" s="12">
        <v>201310.2</v>
      </c>
      <c r="M187" s="25">
        <v>201310.2</v>
      </c>
      <c r="N187" s="26">
        <f>L187-M187</f>
        <v>0</v>
      </c>
      <c r="O187" s="26">
        <v>0</v>
      </c>
      <c r="P187" s="26">
        <f t="shared" si="9"/>
        <v>0</v>
      </c>
      <c r="Q187" s="26">
        <v>0</v>
      </c>
      <c r="R187" s="26">
        <f t="shared" si="7"/>
        <v>0</v>
      </c>
      <c r="S187" s="26">
        <v>0</v>
      </c>
      <c r="T187" s="27">
        <f t="shared" si="8"/>
        <v>0</v>
      </c>
    </row>
    <row r="188" spans="1:20" s="1" customFormat="1">
      <c r="A188" s="3">
        <v>13559</v>
      </c>
      <c r="B188" s="3" t="s">
        <v>85</v>
      </c>
      <c r="C188" s="10">
        <v>80753.94</v>
      </c>
      <c r="D188" s="10"/>
      <c r="E188" s="11"/>
      <c r="F188" s="18"/>
      <c r="G188" s="11"/>
      <c r="H188" s="11"/>
      <c r="I188" s="18"/>
      <c r="J188" s="11">
        <v>-2995.88</v>
      </c>
      <c r="K188" s="11"/>
      <c r="L188" s="12">
        <v>77758.06</v>
      </c>
      <c r="M188" s="25">
        <v>75995.45</v>
      </c>
      <c r="N188" s="26">
        <f>L188-M188</f>
        <v>1762.6100000000006</v>
      </c>
      <c r="O188" s="26">
        <v>2949.33</v>
      </c>
      <c r="P188" s="26">
        <f t="shared" si="9"/>
        <v>-46.550000000000182</v>
      </c>
      <c r="Q188" s="26">
        <v>2193.7399999999998</v>
      </c>
      <c r="R188" s="26">
        <f t="shared" si="7"/>
        <v>2193.7399999999998</v>
      </c>
      <c r="S188" s="26">
        <v>0</v>
      </c>
      <c r="T188" s="27">
        <f t="shared" si="8"/>
        <v>0</v>
      </c>
    </row>
    <row r="189" spans="1:20" s="1" customFormat="1">
      <c r="A189" s="3">
        <v>13656</v>
      </c>
      <c r="B189" s="3" t="s">
        <v>276</v>
      </c>
      <c r="C189" s="10">
        <v>138.75</v>
      </c>
      <c r="D189" s="10"/>
      <c r="E189" s="11"/>
      <c r="F189" s="18"/>
      <c r="G189" s="11"/>
      <c r="H189" s="11"/>
      <c r="I189" s="18"/>
      <c r="J189" s="11"/>
      <c r="K189" s="11"/>
      <c r="L189" s="12">
        <v>138.75</v>
      </c>
      <c r="M189" s="25">
        <v>138.75</v>
      </c>
      <c r="N189" s="26">
        <f>L189-M189</f>
        <v>0</v>
      </c>
      <c r="O189" s="26">
        <v>0</v>
      </c>
      <c r="P189" s="26">
        <f t="shared" si="9"/>
        <v>0</v>
      </c>
      <c r="Q189" s="26">
        <v>0</v>
      </c>
      <c r="R189" s="26">
        <f t="shared" si="7"/>
        <v>0</v>
      </c>
      <c r="S189" s="26">
        <v>0</v>
      </c>
      <c r="T189" s="27">
        <f t="shared" si="8"/>
        <v>0</v>
      </c>
    </row>
    <row r="190" spans="1:20" s="1" customFormat="1">
      <c r="A190" s="3">
        <v>13660</v>
      </c>
      <c r="B190" s="3" t="s">
        <v>216</v>
      </c>
      <c r="C190" s="10"/>
      <c r="D190" s="10">
        <v>8564.57</v>
      </c>
      <c r="E190" s="11"/>
      <c r="F190" s="18"/>
      <c r="G190" s="11"/>
      <c r="H190" s="11"/>
      <c r="I190" s="18"/>
      <c r="J190" s="11"/>
      <c r="K190" s="11"/>
      <c r="L190" s="12">
        <v>8564.57</v>
      </c>
      <c r="M190" s="25">
        <v>8564.57</v>
      </c>
      <c r="N190" s="26">
        <f>L190-M190</f>
        <v>0</v>
      </c>
      <c r="O190" s="26">
        <v>0</v>
      </c>
      <c r="P190" s="26">
        <f t="shared" si="9"/>
        <v>0</v>
      </c>
      <c r="Q190" s="26">
        <v>0</v>
      </c>
      <c r="R190" s="26">
        <f t="shared" si="7"/>
        <v>0</v>
      </c>
      <c r="S190" s="26">
        <v>0</v>
      </c>
      <c r="T190" s="27">
        <f t="shared" si="8"/>
        <v>0</v>
      </c>
    </row>
    <row r="191" spans="1:20" s="1" customFormat="1">
      <c r="A191" s="3">
        <v>13663</v>
      </c>
      <c r="B191" s="3" t="s">
        <v>207</v>
      </c>
      <c r="C191" s="10">
        <v>10175.43</v>
      </c>
      <c r="D191" s="10"/>
      <c r="E191" s="11"/>
      <c r="F191" s="18"/>
      <c r="G191" s="11"/>
      <c r="H191" s="11"/>
      <c r="I191" s="18"/>
      <c r="J191" s="11"/>
      <c r="K191" s="11">
        <v>-433.4</v>
      </c>
      <c r="L191" s="12">
        <v>9742.0300000000007</v>
      </c>
      <c r="M191" s="25">
        <v>10086.120000000001</v>
      </c>
      <c r="N191" s="26">
        <f>L191-M191</f>
        <v>-344.09000000000015</v>
      </c>
      <c r="O191" s="26">
        <v>0</v>
      </c>
      <c r="P191" s="26">
        <f t="shared" si="9"/>
        <v>0</v>
      </c>
      <c r="Q191" s="26">
        <v>637.05999999999995</v>
      </c>
      <c r="R191" s="26">
        <f t="shared" si="7"/>
        <v>203.65999999999997</v>
      </c>
      <c r="S191" s="26">
        <v>433.4</v>
      </c>
      <c r="T191" s="27">
        <f t="shared" si="8"/>
        <v>-433.4</v>
      </c>
    </row>
    <row r="192" spans="1:20" s="1" customFormat="1">
      <c r="A192" s="3">
        <v>13838</v>
      </c>
      <c r="B192" s="3" t="s">
        <v>52</v>
      </c>
      <c r="C192" s="10">
        <v>140794.23999999999</v>
      </c>
      <c r="D192" s="10"/>
      <c r="E192" s="11"/>
      <c r="F192" s="18"/>
      <c r="G192" s="11"/>
      <c r="H192" s="11">
        <v>1158.1500000000001</v>
      </c>
      <c r="I192" s="18"/>
      <c r="J192" s="11"/>
      <c r="K192" s="11"/>
      <c r="L192" s="12">
        <v>141952.38999999998</v>
      </c>
      <c r="M192" s="25">
        <v>142637.18</v>
      </c>
      <c r="N192" s="26">
        <f>L192-M192</f>
        <v>-684.79000000000815</v>
      </c>
      <c r="O192" s="26">
        <v>0</v>
      </c>
      <c r="P192" s="26">
        <f t="shared" si="9"/>
        <v>0</v>
      </c>
      <c r="Q192" s="26">
        <v>0</v>
      </c>
      <c r="R192" s="26">
        <f t="shared" si="7"/>
        <v>0</v>
      </c>
      <c r="S192" s="26">
        <v>0</v>
      </c>
      <c r="T192" s="27">
        <f t="shared" si="8"/>
        <v>0</v>
      </c>
    </row>
    <row r="193" spans="1:20" s="1" customFormat="1">
      <c r="A193" s="3">
        <v>13921</v>
      </c>
      <c r="B193" s="3" t="s">
        <v>210</v>
      </c>
      <c r="C193" s="10">
        <v>9439.2000000000007</v>
      </c>
      <c r="D193" s="10"/>
      <c r="E193" s="11"/>
      <c r="F193" s="18"/>
      <c r="G193" s="11"/>
      <c r="H193" s="11"/>
      <c r="I193" s="18"/>
      <c r="J193" s="11"/>
      <c r="K193" s="11"/>
      <c r="L193" s="12">
        <v>9439.2000000000007</v>
      </c>
      <c r="M193" s="25">
        <v>9439.2000000000007</v>
      </c>
      <c r="N193" s="26">
        <f>L193-M193</f>
        <v>0</v>
      </c>
      <c r="O193" s="26">
        <v>0</v>
      </c>
      <c r="P193" s="26">
        <f t="shared" si="9"/>
        <v>0</v>
      </c>
      <c r="Q193" s="26">
        <v>0</v>
      </c>
      <c r="R193" s="26">
        <f t="shared" si="7"/>
        <v>0</v>
      </c>
      <c r="S193" s="26">
        <v>0</v>
      </c>
      <c r="T193" s="27">
        <f t="shared" si="8"/>
        <v>0</v>
      </c>
    </row>
    <row r="194" spans="1:20" s="1" customFormat="1">
      <c r="A194" s="3">
        <v>14068</v>
      </c>
      <c r="B194" s="3" t="s">
        <v>84</v>
      </c>
      <c r="C194" s="10">
        <v>78630</v>
      </c>
      <c r="D194" s="10"/>
      <c r="E194" s="11"/>
      <c r="F194" s="18"/>
      <c r="G194" s="11"/>
      <c r="H194" s="11"/>
      <c r="I194" s="18"/>
      <c r="J194" s="11"/>
      <c r="K194" s="11">
        <v>-1114.3</v>
      </c>
      <c r="L194" s="12">
        <v>77515.7</v>
      </c>
      <c r="M194" s="25">
        <v>78630</v>
      </c>
      <c r="N194" s="26">
        <f>L194-M194</f>
        <v>-1114.3000000000029</v>
      </c>
      <c r="O194" s="26">
        <v>0</v>
      </c>
      <c r="P194" s="26">
        <f t="shared" si="9"/>
        <v>0</v>
      </c>
      <c r="Q194" s="26">
        <v>1323</v>
      </c>
      <c r="R194" s="26">
        <f t="shared" si="7"/>
        <v>208.70000000000005</v>
      </c>
      <c r="S194" s="26">
        <v>1114.3</v>
      </c>
      <c r="T194" s="27">
        <f t="shared" si="8"/>
        <v>-1114.3</v>
      </c>
    </row>
    <row r="195" spans="1:20" s="1" customFormat="1">
      <c r="A195" s="3">
        <v>14112</v>
      </c>
      <c r="B195" s="3" t="s">
        <v>180</v>
      </c>
      <c r="C195" s="10">
        <v>15608.2</v>
      </c>
      <c r="D195" s="10"/>
      <c r="E195" s="11"/>
      <c r="F195" s="18"/>
      <c r="G195" s="11"/>
      <c r="H195" s="11"/>
      <c r="I195" s="18"/>
      <c r="J195" s="11"/>
      <c r="K195" s="11"/>
      <c r="L195" s="12">
        <v>15608.2</v>
      </c>
      <c r="M195" s="25">
        <v>15638.16</v>
      </c>
      <c r="N195" s="26">
        <f>L195-M195</f>
        <v>-29.959999999999127</v>
      </c>
      <c r="O195" s="26">
        <v>0</v>
      </c>
      <c r="P195" s="26">
        <f t="shared" si="9"/>
        <v>0</v>
      </c>
      <c r="Q195" s="26">
        <v>0</v>
      </c>
      <c r="R195" s="26">
        <f t="shared" si="7"/>
        <v>0</v>
      </c>
      <c r="S195" s="26">
        <v>0</v>
      </c>
      <c r="T195" s="27">
        <f t="shared" si="8"/>
        <v>0</v>
      </c>
    </row>
    <row r="196" spans="1:20" s="1" customFormat="1">
      <c r="A196" s="3">
        <v>14196</v>
      </c>
      <c r="B196" s="3" t="s">
        <v>148</v>
      </c>
      <c r="C196" s="10">
        <v>24304</v>
      </c>
      <c r="D196" s="10"/>
      <c r="E196" s="11"/>
      <c r="F196" s="18"/>
      <c r="G196" s="11"/>
      <c r="H196" s="11"/>
      <c r="I196" s="18"/>
      <c r="J196" s="11">
        <v>-682</v>
      </c>
      <c r="K196" s="11"/>
      <c r="L196" s="12">
        <v>23622</v>
      </c>
      <c r="M196" s="25">
        <v>24304</v>
      </c>
      <c r="N196" s="26">
        <f>L196-M196</f>
        <v>-682</v>
      </c>
      <c r="O196" s="26">
        <v>682</v>
      </c>
      <c r="P196" s="26">
        <f t="shared" si="9"/>
        <v>0</v>
      </c>
      <c r="Q196" s="26">
        <v>0</v>
      </c>
      <c r="R196" s="26">
        <f t="shared" ref="R196:R259" si="10">K196+Q196</f>
        <v>0</v>
      </c>
      <c r="S196" s="26">
        <v>0</v>
      </c>
      <c r="T196" s="27">
        <f t="shared" ref="T196:T259" si="11">F196-S196</f>
        <v>0</v>
      </c>
    </row>
    <row r="197" spans="1:20" s="1" customFormat="1">
      <c r="A197" s="3">
        <v>14212</v>
      </c>
      <c r="B197" s="3" t="s">
        <v>264</v>
      </c>
      <c r="C197" s="10">
        <v>1383.82</v>
      </c>
      <c r="D197" s="10"/>
      <c r="E197" s="11"/>
      <c r="F197" s="18"/>
      <c r="G197" s="11"/>
      <c r="H197" s="11"/>
      <c r="I197" s="18"/>
      <c r="J197" s="11">
        <v>-257.77999999999997</v>
      </c>
      <c r="K197" s="11"/>
      <c r="L197" s="12">
        <v>1126.04</v>
      </c>
      <c r="M197" s="25">
        <v>1383.82</v>
      </c>
      <c r="N197" s="26">
        <f>L197-M197</f>
        <v>-257.77999999999997</v>
      </c>
      <c r="O197" s="26">
        <v>257.77999999999997</v>
      </c>
      <c r="P197" s="26">
        <f t="shared" si="9"/>
        <v>0</v>
      </c>
      <c r="Q197" s="26">
        <v>0</v>
      </c>
      <c r="R197" s="26">
        <f t="shared" si="10"/>
        <v>0</v>
      </c>
      <c r="S197" s="26">
        <v>0</v>
      </c>
      <c r="T197" s="27">
        <f t="shared" si="11"/>
        <v>0</v>
      </c>
    </row>
    <row r="198" spans="1:20" s="1" customFormat="1">
      <c r="A198" s="3">
        <v>14296</v>
      </c>
      <c r="B198" s="3" t="s">
        <v>270</v>
      </c>
      <c r="C198" s="10">
        <v>980.28</v>
      </c>
      <c r="D198" s="10"/>
      <c r="E198" s="11"/>
      <c r="F198" s="18"/>
      <c r="G198" s="11"/>
      <c r="H198" s="11"/>
      <c r="I198" s="18"/>
      <c r="J198" s="11"/>
      <c r="K198" s="11"/>
      <c r="L198" s="12">
        <v>980.28</v>
      </c>
      <c r="M198" s="25">
        <v>980.28</v>
      </c>
      <c r="N198" s="26">
        <f>L198-M198</f>
        <v>0</v>
      </c>
      <c r="O198" s="26">
        <v>0</v>
      </c>
      <c r="P198" s="26">
        <f t="shared" si="9"/>
        <v>0</v>
      </c>
      <c r="Q198" s="26">
        <v>0</v>
      </c>
      <c r="R198" s="26">
        <f t="shared" si="10"/>
        <v>0</v>
      </c>
      <c r="S198" s="26">
        <v>0</v>
      </c>
      <c r="T198" s="27">
        <f t="shared" si="11"/>
        <v>0</v>
      </c>
    </row>
    <row r="199" spans="1:20" s="1" customFormat="1">
      <c r="A199" s="3">
        <v>14321</v>
      </c>
      <c r="B199" s="3" t="s">
        <v>48</v>
      </c>
      <c r="C199" s="10">
        <v>31773</v>
      </c>
      <c r="D199" s="10"/>
      <c r="E199" s="11"/>
      <c r="F199" s="18"/>
      <c r="G199" s="11"/>
      <c r="H199" s="11"/>
      <c r="I199" s="18"/>
      <c r="J199" s="11"/>
      <c r="K199" s="11"/>
      <c r="L199" s="12">
        <v>31773</v>
      </c>
      <c r="M199" s="25">
        <v>31773</v>
      </c>
      <c r="N199" s="26">
        <f>L199-M199</f>
        <v>0</v>
      </c>
      <c r="O199" s="26">
        <v>0</v>
      </c>
      <c r="P199" s="26">
        <f t="shared" si="9"/>
        <v>0</v>
      </c>
      <c r="Q199" s="26">
        <v>0</v>
      </c>
      <c r="R199" s="26">
        <f t="shared" si="10"/>
        <v>0</v>
      </c>
      <c r="S199" s="26">
        <v>0</v>
      </c>
      <c r="T199" s="27">
        <f t="shared" si="11"/>
        <v>0</v>
      </c>
    </row>
    <row r="200" spans="1:20" s="1" customFormat="1">
      <c r="A200" s="3">
        <v>14322</v>
      </c>
      <c r="B200" s="3" t="s">
        <v>48</v>
      </c>
      <c r="C200" s="10">
        <v>149469.51999999999</v>
      </c>
      <c r="D200" s="10"/>
      <c r="E200" s="11"/>
      <c r="F200" s="18"/>
      <c r="G200" s="11"/>
      <c r="H200" s="11">
        <v>2859.42</v>
      </c>
      <c r="I200" s="18"/>
      <c r="J200" s="11">
        <v>-11414.28</v>
      </c>
      <c r="K200" s="11"/>
      <c r="L200" s="12">
        <v>140914.66</v>
      </c>
      <c r="M200" s="25">
        <v>151130.1</v>
      </c>
      <c r="N200" s="26">
        <f>L200-M200</f>
        <v>-10215.440000000002</v>
      </c>
      <c r="O200" s="26">
        <v>11414.28</v>
      </c>
      <c r="P200" s="26">
        <f t="shared" si="9"/>
        <v>0</v>
      </c>
      <c r="Q200" s="26">
        <v>0</v>
      </c>
      <c r="R200" s="26">
        <f t="shared" si="10"/>
        <v>0</v>
      </c>
      <c r="S200" s="26">
        <v>0</v>
      </c>
      <c r="T200" s="27">
        <f t="shared" si="11"/>
        <v>0</v>
      </c>
    </row>
    <row r="201" spans="1:20" s="1" customFormat="1">
      <c r="A201" s="3">
        <v>14328</v>
      </c>
      <c r="B201" s="3" t="s">
        <v>106</v>
      </c>
      <c r="C201" s="10">
        <v>46000</v>
      </c>
      <c r="D201" s="10"/>
      <c r="E201" s="11"/>
      <c r="F201" s="18"/>
      <c r="G201" s="11"/>
      <c r="H201" s="11"/>
      <c r="I201" s="18"/>
      <c r="J201" s="11"/>
      <c r="K201" s="11">
        <v>-2670.8</v>
      </c>
      <c r="L201" s="12">
        <v>43329.2</v>
      </c>
      <c r="M201" s="25">
        <v>46000</v>
      </c>
      <c r="N201" s="26">
        <f>L201-M201</f>
        <v>-2670.8000000000029</v>
      </c>
      <c r="O201" s="26">
        <v>0</v>
      </c>
      <c r="P201" s="26">
        <f t="shared" si="9"/>
        <v>0</v>
      </c>
      <c r="Q201" s="26">
        <v>0</v>
      </c>
      <c r="R201" s="26">
        <f t="shared" si="10"/>
        <v>-2670.8</v>
      </c>
      <c r="S201" s="26">
        <v>2670.8</v>
      </c>
      <c r="T201" s="27">
        <f t="shared" si="11"/>
        <v>-2670.8</v>
      </c>
    </row>
    <row r="202" spans="1:20" s="1" customFormat="1">
      <c r="A202" s="3">
        <v>14339</v>
      </c>
      <c r="B202" s="3" t="s">
        <v>214</v>
      </c>
      <c r="C202" s="10">
        <v>9316.19</v>
      </c>
      <c r="D202" s="10"/>
      <c r="E202" s="11"/>
      <c r="F202" s="18"/>
      <c r="G202" s="11"/>
      <c r="H202" s="11"/>
      <c r="I202" s="18"/>
      <c r="J202" s="11"/>
      <c r="K202" s="11"/>
      <c r="L202" s="12">
        <v>9316.19</v>
      </c>
      <c r="M202" s="25">
        <v>8747.6</v>
      </c>
      <c r="N202" s="26">
        <f>L202-M202</f>
        <v>568.59000000000015</v>
      </c>
      <c r="O202" s="26">
        <v>0</v>
      </c>
      <c r="P202" s="26">
        <f t="shared" si="9"/>
        <v>0</v>
      </c>
      <c r="Q202" s="26">
        <v>422.03</v>
      </c>
      <c r="R202" s="26">
        <f t="shared" si="10"/>
        <v>422.03</v>
      </c>
      <c r="S202" s="26">
        <v>0</v>
      </c>
      <c r="T202" s="27">
        <f t="shared" si="11"/>
        <v>0</v>
      </c>
    </row>
    <row r="203" spans="1:20" s="1" customFormat="1">
      <c r="A203" s="3">
        <v>14395</v>
      </c>
      <c r="B203" s="3" t="s">
        <v>165</v>
      </c>
      <c r="C203" s="10">
        <v>28033.43</v>
      </c>
      <c r="D203" s="10"/>
      <c r="E203" s="11"/>
      <c r="F203" s="18"/>
      <c r="G203" s="11"/>
      <c r="H203" s="11"/>
      <c r="I203" s="18"/>
      <c r="J203" s="11"/>
      <c r="K203" s="11"/>
      <c r="L203" s="12">
        <v>28033.43</v>
      </c>
      <c r="M203" s="25">
        <v>17799.3</v>
      </c>
      <c r="N203" s="26">
        <f>L203-M203</f>
        <v>10234.130000000001</v>
      </c>
      <c r="O203" s="26">
        <v>0</v>
      </c>
      <c r="P203" s="26">
        <f t="shared" ref="P203:P266" si="12">O203+J203</f>
        <v>0</v>
      </c>
      <c r="Q203" s="26">
        <v>0</v>
      </c>
      <c r="R203" s="26">
        <f t="shared" si="10"/>
        <v>0</v>
      </c>
      <c r="S203" s="26">
        <v>0</v>
      </c>
      <c r="T203" s="27">
        <f t="shared" si="11"/>
        <v>0</v>
      </c>
    </row>
    <row r="204" spans="1:20" s="1" customFormat="1">
      <c r="A204" s="3">
        <v>14408</v>
      </c>
      <c r="B204" s="3" t="s">
        <v>140</v>
      </c>
      <c r="C204" s="10">
        <v>26250</v>
      </c>
      <c r="D204" s="10"/>
      <c r="E204" s="11"/>
      <c r="F204" s="18"/>
      <c r="G204" s="11"/>
      <c r="H204" s="11"/>
      <c r="I204" s="18"/>
      <c r="J204" s="11"/>
      <c r="K204" s="11"/>
      <c r="L204" s="12">
        <v>26250</v>
      </c>
      <c r="M204" s="25">
        <v>26250</v>
      </c>
      <c r="N204" s="26">
        <f>L204-M204</f>
        <v>0</v>
      </c>
      <c r="O204" s="26">
        <v>0</v>
      </c>
      <c r="P204" s="26">
        <f t="shared" si="12"/>
        <v>0</v>
      </c>
      <c r="Q204" s="26">
        <v>0</v>
      </c>
      <c r="R204" s="26">
        <f t="shared" si="10"/>
        <v>0</v>
      </c>
      <c r="S204" s="26">
        <v>0</v>
      </c>
      <c r="T204" s="27">
        <f t="shared" si="11"/>
        <v>0</v>
      </c>
    </row>
    <row r="205" spans="1:20" s="1" customFormat="1">
      <c r="A205" s="3">
        <v>14458</v>
      </c>
      <c r="B205" s="3" t="s">
        <v>111</v>
      </c>
      <c r="C205" s="10">
        <v>42722.92</v>
      </c>
      <c r="D205" s="10"/>
      <c r="E205" s="11"/>
      <c r="F205" s="18"/>
      <c r="G205" s="11"/>
      <c r="H205" s="11"/>
      <c r="I205" s="18"/>
      <c r="J205" s="11"/>
      <c r="K205" s="11"/>
      <c r="L205" s="12">
        <v>42722.92</v>
      </c>
      <c r="M205" s="25">
        <v>42722.92</v>
      </c>
      <c r="N205" s="26">
        <f>L205-M205</f>
        <v>0</v>
      </c>
      <c r="O205" s="26">
        <v>0</v>
      </c>
      <c r="P205" s="26">
        <f t="shared" si="12"/>
        <v>0</v>
      </c>
      <c r="Q205" s="26">
        <v>0</v>
      </c>
      <c r="R205" s="26">
        <f t="shared" si="10"/>
        <v>0</v>
      </c>
      <c r="S205" s="26">
        <v>0</v>
      </c>
      <c r="T205" s="27">
        <f t="shared" si="11"/>
        <v>0</v>
      </c>
    </row>
    <row r="206" spans="1:20" s="1" customFormat="1">
      <c r="A206" s="3">
        <v>14468</v>
      </c>
      <c r="B206" s="3" t="s">
        <v>94</v>
      </c>
      <c r="C206" s="10">
        <v>65030.76</v>
      </c>
      <c r="D206" s="10"/>
      <c r="E206" s="11"/>
      <c r="F206" s="18">
        <v>6366.3</v>
      </c>
      <c r="G206" s="11"/>
      <c r="H206" s="11"/>
      <c r="I206" s="18">
        <v>-21.54</v>
      </c>
      <c r="J206" s="11">
        <v>-242.91</v>
      </c>
      <c r="K206" s="11">
        <v>-548.44000000000005</v>
      </c>
      <c r="L206" s="12">
        <v>70584.17</v>
      </c>
      <c r="M206" s="25">
        <v>63297.72</v>
      </c>
      <c r="N206" s="26">
        <f>L206-M206</f>
        <v>7286.4499999999971</v>
      </c>
      <c r="O206" s="26">
        <v>242.91</v>
      </c>
      <c r="P206" s="26">
        <f t="shared" si="12"/>
        <v>0</v>
      </c>
      <c r="Q206" s="26">
        <v>6165.9</v>
      </c>
      <c r="R206" s="26">
        <f t="shared" si="10"/>
        <v>5617.4599999999991</v>
      </c>
      <c r="S206" s="26">
        <v>548.44000000000005</v>
      </c>
      <c r="T206" s="27">
        <f t="shared" si="11"/>
        <v>5817.8600000000006</v>
      </c>
    </row>
    <row r="207" spans="1:20" s="1" customFormat="1">
      <c r="A207" s="3">
        <v>14469</v>
      </c>
      <c r="B207" s="3" t="s">
        <v>16</v>
      </c>
      <c r="C207" s="10">
        <v>541843.67000000004</v>
      </c>
      <c r="D207" s="10"/>
      <c r="E207" s="11"/>
      <c r="F207" s="18"/>
      <c r="G207" s="11"/>
      <c r="H207" s="11">
        <v>1636.73</v>
      </c>
      <c r="I207" s="18"/>
      <c r="J207" s="11">
        <v>-77863.259999999995</v>
      </c>
      <c r="K207" s="11"/>
      <c r="L207" s="12">
        <v>465617.14</v>
      </c>
      <c r="M207" s="25">
        <v>543480.4</v>
      </c>
      <c r="N207" s="26">
        <f>L207-M207</f>
        <v>-77863.260000000009</v>
      </c>
      <c r="O207" s="26">
        <v>77863.259999999995</v>
      </c>
      <c r="P207" s="26">
        <f t="shared" si="12"/>
        <v>0</v>
      </c>
      <c r="Q207" s="26">
        <v>452.56</v>
      </c>
      <c r="R207" s="26">
        <f t="shared" si="10"/>
        <v>452.56</v>
      </c>
      <c r="S207" s="26">
        <v>0</v>
      </c>
      <c r="T207" s="27">
        <f t="shared" si="11"/>
        <v>0</v>
      </c>
    </row>
    <row r="208" spans="1:20" s="1" customFormat="1">
      <c r="A208" s="3">
        <v>14480</v>
      </c>
      <c r="B208" s="3" t="s">
        <v>189</v>
      </c>
      <c r="C208" s="10">
        <v>13398</v>
      </c>
      <c r="D208" s="10"/>
      <c r="E208" s="11"/>
      <c r="F208" s="18"/>
      <c r="G208" s="11"/>
      <c r="H208" s="11"/>
      <c r="I208" s="18"/>
      <c r="J208" s="11"/>
      <c r="K208" s="11"/>
      <c r="L208" s="12">
        <v>13398</v>
      </c>
      <c r="M208" s="25">
        <v>13398</v>
      </c>
      <c r="N208" s="26">
        <f>L208-M208</f>
        <v>0</v>
      </c>
      <c r="O208" s="26">
        <v>0</v>
      </c>
      <c r="P208" s="26">
        <f t="shared" si="12"/>
        <v>0</v>
      </c>
      <c r="Q208" s="26">
        <v>0</v>
      </c>
      <c r="R208" s="26">
        <f t="shared" si="10"/>
        <v>0</v>
      </c>
      <c r="S208" s="26">
        <v>0</v>
      </c>
      <c r="T208" s="27">
        <f t="shared" si="11"/>
        <v>0</v>
      </c>
    </row>
    <row r="209" spans="1:20" s="1" customFormat="1">
      <c r="A209" s="3">
        <v>14556</v>
      </c>
      <c r="B209" s="3" t="s">
        <v>29</v>
      </c>
      <c r="C209" s="10">
        <v>247116.34</v>
      </c>
      <c r="D209" s="10"/>
      <c r="E209" s="11"/>
      <c r="F209" s="18"/>
      <c r="G209" s="11"/>
      <c r="H209" s="11"/>
      <c r="I209" s="18"/>
      <c r="J209" s="11"/>
      <c r="K209" s="11"/>
      <c r="L209" s="12">
        <v>247116.34</v>
      </c>
      <c r="M209" s="25">
        <v>237156</v>
      </c>
      <c r="N209" s="26">
        <f>L209-M209</f>
        <v>9960.3399999999965</v>
      </c>
      <c r="O209" s="26">
        <v>0</v>
      </c>
      <c r="P209" s="26">
        <f t="shared" si="12"/>
        <v>0</v>
      </c>
      <c r="Q209" s="26">
        <v>0</v>
      </c>
      <c r="R209" s="26">
        <f t="shared" si="10"/>
        <v>0</v>
      </c>
      <c r="S209" s="26">
        <v>0</v>
      </c>
      <c r="T209" s="27">
        <f t="shared" si="11"/>
        <v>0</v>
      </c>
    </row>
    <row r="210" spans="1:20" s="1" customFormat="1">
      <c r="A210" s="3">
        <v>14588</v>
      </c>
      <c r="B210" s="3" t="s">
        <v>170</v>
      </c>
      <c r="C210" s="10">
        <v>16955.310000000001</v>
      </c>
      <c r="D210" s="10"/>
      <c r="E210" s="11"/>
      <c r="F210" s="18"/>
      <c r="G210" s="11"/>
      <c r="H210" s="11"/>
      <c r="I210" s="18"/>
      <c r="J210" s="11"/>
      <c r="K210" s="11">
        <v>-551.05999999999995</v>
      </c>
      <c r="L210" s="12">
        <v>16404.25</v>
      </c>
      <c r="M210" s="25">
        <v>16955.310000000001</v>
      </c>
      <c r="N210" s="26">
        <f>L210-M210</f>
        <v>-551.06000000000131</v>
      </c>
      <c r="O210" s="26">
        <v>0</v>
      </c>
      <c r="P210" s="26">
        <f t="shared" si="12"/>
        <v>0</v>
      </c>
      <c r="Q210" s="26">
        <v>0</v>
      </c>
      <c r="R210" s="26">
        <f t="shared" si="10"/>
        <v>-551.05999999999995</v>
      </c>
      <c r="S210" s="26">
        <v>551.05999999999995</v>
      </c>
      <c r="T210" s="27">
        <f t="shared" si="11"/>
        <v>-551.05999999999995</v>
      </c>
    </row>
    <row r="211" spans="1:20" s="1" customFormat="1">
      <c r="A211" s="3">
        <v>14671</v>
      </c>
      <c r="B211" s="3" t="s">
        <v>114</v>
      </c>
      <c r="C211" s="10">
        <v>20195.400000000001</v>
      </c>
      <c r="D211" s="10"/>
      <c r="E211" s="11"/>
      <c r="F211" s="18"/>
      <c r="G211" s="11"/>
      <c r="H211" s="11"/>
      <c r="I211" s="18"/>
      <c r="J211" s="11">
        <v>-80.64</v>
      </c>
      <c r="K211" s="11">
        <v>-6.19</v>
      </c>
      <c r="L211" s="12">
        <v>20108.570000000003</v>
      </c>
      <c r="M211" s="25">
        <v>20195.400000000001</v>
      </c>
      <c r="N211" s="26">
        <f>L211-M211</f>
        <v>-86.829999999998108</v>
      </c>
      <c r="O211" s="26">
        <v>80.64</v>
      </c>
      <c r="P211" s="26">
        <f t="shared" si="12"/>
        <v>0</v>
      </c>
      <c r="Q211" s="26">
        <v>2555.7600000000002</v>
      </c>
      <c r="R211" s="26">
        <f t="shared" si="10"/>
        <v>2549.5700000000002</v>
      </c>
      <c r="S211" s="26">
        <v>6.19</v>
      </c>
      <c r="T211" s="27">
        <f t="shared" si="11"/>
        <v>-6.19</v>
      </c>
    </row>
    <row r="212" spans="1:20" s="1" customFormat="1">
      <c r="A212" s="3">
        <v>14718</v>
      </c>
      <c r="B212" s="3" t="s">
        <v>145</v>
      </c>
      <c r="C212" s="10">
        <v>30069</v>
      </c>
      <c r="D212" s="10"/>
      <c r="E212" s="11"/>
      <c r="F212" s="18"/>
      <c r="G212" s="11"/>
      <c r="H212" s="11"/>
      <c r="I212" s="18"/>
      <c r="J212" s="11"/>
      <c r="K212" s="11"/>
      <c r="L212" s="12">
        <v>30069</v>
      </c>
      <c r="M212" s="25">
        <v>30069</v>
      </c>
      <c r="N212" s="26">
        <f>L212-M212</f>
        <v>0</v>
      </c>
      <c r="O212" s="26">
        <v>0</v>
      </c>
      <c r="P212" s="26">
        <f t="shared" si="12"/>
        <v>0</v>
      </c>
      <c r="Q212" s="26">
        <v>0</v>
      </c>
      <c r="R212" s="26">
        <f t="shared" si="10"/>
        <v>0</v>
      </c>
      <c r="S212" s="26">
        <v>0</v>
      </c>
      <c r="T212" s="27">
        <f t="shared" si="11"/>
        <v>0</v>
      </c>
    </row>
    <row r="213" spans="1:20" s="1" customFormat="1">
      <c r="A213" s="3">
        <v>14758</v>
      </c>
      <c r="B213" s="3" t="s">
        <v>136</v>
      </c>
      <c r="C213" s="10">
        <v>27369.21</v>
      </c>
      <c r="D213" s="10"/>
      <c r="E213" s="11"/>
      <c r="F213" s="18"/>
      <c r="G213" s="11"/>
      <c r="H213" s="11"/>
      <c r="I213" s="18"/>
      <c r="J213" s="11"/>
      <c r="K213" s="11"/>
      <c r="L213" s="12">
        <v>27369.21</v>
      </c>
      <c r="M213" s="25">
        <v>27369.21</v>
      </c>
      <c r="N213" s="26">
        <f>L213-M213</f>
        <v>0</v>
      </c>
      <c r="O213" s="26">
        <v>0</v>
      </c>
      <c r="P213" s="26">
        <f t="shared" si="12"/>
        <v>0</v>
      </c>
      <c r="Q213" s="26">
        <v>0</v>
      </c>
      <c r="R213" s="26">
        <f t="shared" si="10"/>
        <v>0</v>
      </c>
      <c r="S213" s="26">
        <v>0</v>
      </c>
      <c r="T213" s="27">
        <f t="shared" si="11"/>
        <v>0</v>
      </c>
    </row>
    <row r="214" spans="1:20" s="1" customFormat="1">
      <c r="A214" s="3">
        <v>14794</v>
      </c>
      <c r="B214" s="3" t="s">
        <v>159</v>
      </c>
      <c r="C214" s="10">
        <v>20502</v>
      </c>
      <c r="D214" s="10"/>
      <c r="E214" s="11"/>
      <c r="F214" s="18"/>
      <c r="G214" s="11"/>
      <c r="H214" s="11"/>
      <c r="I214" s="18"/>
      <c r="J214" s="11">
        <v>-40.799999999999997</v>
      </c>
      <c r="K214" s="11"/>
      <c r="L214" s="12">
        <v>20461.2</v>
      </c>
      <c r="M214" s="25">
        <v>20502</v>
      </c>
      <c r="N214" s="26">
        <f>L214-M214</f>
        <v>-40.799999999999272</v>
      </c>
      <c r="O214" s="26">
        <v>40.799999999999997</v>
      </c>
      <c r="P214" s="26">
        <f t="shared" si="12"/>
        <v>0</v>
      </c>
      <c r="Q214" s="26">
        <v>0</v>
      </c>
      <c r="R214" s="26">
        <f t="shared" si="10"/>
        <v>0</v>
      </c>
      <c r="S214" s="26">
        <v>0</v>
      </c>
      <c r="T214" s="27">
        <f t="shared" si="11"/>
        <v>0</v>
      </c>
    </row>
    <row r="215" spans="1:20" s="1" customFormat="1">
      <c r="A215" s="3">
        <v>14965</v>
      </c>
      <c r="B215" s="3" t="s">
        <v>246</v>
      </c>
      <c r="C215" s="10">
        <v>4386.03</v>
      </c>
      <c r="D215" s="10"/>
      <c r="E215" s="11"/>
      <c r="F215" s="18"/>
      <c r="G215" s="11"/>
      <c r="H215" s="11"/>
      <c r="I215" s="18"/>
      <c r="J215" s="11"/>
      <c r="K215" s="11"/>
      <c r="L215" s="12">
        <v>4386.03</v>
      </c>
      <c r="M215" s="25">
        <v>4247.9799999999996</v>
      </c>
      <c r="N215" s="26">
        <f>L215-M215</f>
        <v>138.05000000000018</v>
      </c>
      <c r="O215" s="26">
        <v>0</v>
      </c>
      <c r="P215" s="26">
        <f t="shared" si="12"/>
        <v>0</v>
      </c>
      <c r="Q215" s="26">
        <v>0</v>
      </c>
      <c r="R215" s="26">
        <f t="shared" si="10"/>
        <v>0</v>
      </c>
      <c r="S215" s="26">
        <v>0</v>
      </c>
      <c r="T215" s="27">
        <f t="shared" si="11"/>
        <v>0</v>
      </c>
    </row>
    <row r="216" spans="1:20" s="1" customFormat="1">
      <c r="A216" s="3">
        <v>15011</v>
      </c>
      <c r="B216" s="3" t="s">
        <v>44</v>
      </c>
      <c r="C216" s="10">
        <v>169423.17</v>
      </c>
      <c r="D216" s="10"/>
      <c r="E216" s="11"/>
      <c r="F216" s="18"/>
      <c r="G216" s="11"/>
      <c r="H216" s="11"/>
      <c r="I216" s="18"/>
      <c r="J216" s="11">
        <v>-2295.4699999999998</v>
      </c>
      <c r="K216" s="11"/>
      <c r="L216" s="12">
        <v>167127.70000000001</v>
      </c>
      <c r="M216" s="25">
        <v>169423.17</v>
      </c>
      <c r="N216" s="26">
        <f>L216-M216</f>
        <v>-2295.4700000000012</v>
      </c>
      <c r="O216" s="26">
        <v>2295.4699999999998</v>
      </c>
      <c r="P216" s="26">
        <f t="shared" si="12"/>
        <v>0</v>
      </c>
      <c r="Q216" s="26">
        <v>0</v>
      </c>
      <c r="R216" s="26">
        <f t="shared" si="10"/>
        <v>0</v>
      </c>
      <c r="S216" s="26">
        <v>0</v>
      </c>
      <c r="T216" s="27">
        <f t="shared" si="11"/>
        <v>0</v>
      </c>
    </row>
    <row r="217" spans="1:20" s="1" customFormat="1">
      <c r="A217" s="3">
        <v>15134</v>
      </c>
      <c r="B217" s="3" t="s">
        <v>17</v>
      </c>
      <c r="C217" s="10">
        <v>617165.11</v>
      </c>
      <c r="D217" s="10"/>
      <c r="E217" s="11"/>
      <c r="F217" s="18"/>
      <c r="G217" s="11"/>
      <c r="H217" s="11"/>
      <c r="I217" s="18"/>
      <c r="J217" s="11">
        <v>-478.3</v>
      </c>
      <c r="K217" s="11">
        <v>-46181.91</v>
      </c>
      <c r="L217" s="12">
        <v>570504.89999999991</v>
      </c>
      <c r="M217" s="25">
        <v>497026.16</v>
      </c>
      <c r="N217" s="26">
        <f>L217-M217</f>
        <v>73478.739999999932</v>
      </c>
      <c r="O217" s="26">
        <v>478.3</v>
      </c>
      <c r="P217" s="26">
        <f t="shared" si="12"/>
        <v>0</v>
      </c>
      <c r="Q217" s="26">
        <v>0</v>
      </c>
      <c r="R217" s="26">
        <f t="shared" si="10"/>
        <v>-46181.91</v>
      </c>
      <c r="S217" s="26">
        <v>46142.7</v>
      </c>
      <c r="T217" s="27">
        <f t="shared" si="11"/>
        <v>-46142.7</v>
      </c>
    </row>
    <row r="218" spans="1:20" s="1" customFormat="1">
      <c r="A218" s="3">
        <v>15139</v>
      </c>
      <c r="B218" s="3" t="s">
        <v>81</v>
      </c>
      <c r="C218" s="10">
        <v>80203.42</v>
      </c>
      <c r="D218" s="10"/>
      <c r="E218" s="11"/>
      <c r="F218" s="18"/>
      <c r="G218" s="11"/>
      <c r="H218" s="11"/>
      <c r="I218" s="18"/>
      <c r="J218" s="11">
        <v>-43.66</v>
      </c>
      <c r="K218" s="11"/>
      <c r="L218" s="12">
        <v>80159.759999999995</v>
      </c>
      <c r="M218" s="25">
        <v>80203.42</v>
      </c>
      <c r="N218" s="26">
        <f>L218-M218</f>
        <v>-43.660000000003492</v>
      </c>
      <c r="O218" s="26">
        <v>43.66</v>
      </c>
      <c r="P218" s="26">
        <f t="shared" si="12"/>
        <v>0</v>
      </c>
      <c r="Q218" s="26">
        <v>0</v>
      </c>
      <c r="R218" s="26">
        <f t="shared" si="10"/>
        <v>0</v>
      </c>
      <c r="S218" s="26">
        <v>0</v>
      </c>
      <c r="T218" s="27">
        <f t="shared" si="11"/>
        <v>0</v>
      </c>
    </row>
    <row r="219" spans="1:20" s="1" customFormat="1">
      <c r="A219" s="3">
        <v>15165</v>
      </c>
      <c r="B219" s="3" t="s">
        <v>58</v>
      </c>
      <c r="C219" s="10">
        <v>133606.01999999999</v>
      </c>
      <c r="D219" s="10"/>
      <c r="E219" s="11"/>
      <c r="F219" s="18"/>
      <c r="G219" s="11"/>
      <c r="H219" s="11"/>
      <c r="I219" s="18"/>
      <c r="J219" s="11"/>
      <c r="K219" s="11">
        <v>-1793.46</v>
      </c>
      <c r="L219" s="12">
        <v>131812.56</v>
      </c>
      <c r="M219" s="25">
        <v>133606.01999999999</v>
      </c>
      <c r="N219" s="26">
        <f>L219-M219</f>
        <v>-1793.4599999999919</v>
      </c>
      <c r="O219" s="26">
        <v>0</v>
      </c>
      <c r="P219" s="26">
        <f t="shared" si="12"/>
        <v>0</v>
      </c>
      <c r="Q219" s="26">
        <v>0</v>
      </c>
      <c r="R219" s="26">
        <f t="shared" si="10"/>
        <v>-1793.46</v>
      </c>
      <c r="S219" s="26">
        <v>1793.46</v>
      </c>
      <c r="T219" s="27">
        <f t="shared" si="11"/>
        <v>-1793.46</v>
      </c>
    </row>
    <row r="220" spans="1:20" s="1" customFormat="1">
      <c r="A220" s="3">
        <v>15208</v>
      </c>
      <c r="B220" s="3" t="s">
        <v>13</v>
      </c>
      <c r="C220" s="10">
        <v>598276.56000000006</v>
      </c>
      <c r="D220" s="10"/>
      <c r="E220" s="11"/>
      <c r="F220" s="18"/>
      <c r="G220" s="11"/>
      <c r="H220" s="11"/>
      <c r="I220" s="18"/>
      <c r="J220" s="11">
        <v>-13237.11</v>
      </c>
      <c r="K220" s="11"/>
      <c r="L220" s="12">
        <v>585039.45000000007</v>
      </c>
      <c r="M220" s="25">
        <v>598276.56000000006</v>
      </c>
      <c r="N220" s="26">
        <f>L220-M220</f>
        <v>-13237.109999999986</v>
      </c>
      <c r="O220" s="26">
        <v>13237.11</v>
      </c>
      <c r="P220" s="26">
        <f t="shared" si="12"/>
        <v>0</v>
      </c>
      <c r="Q220" s="26">
        <v>0</v>
      </c>
      <c r="R220" s="26">
        <f t="shared" si="10"/>
        <v>0</v>
      </c>
      <c r="S220" s="26">
        <v>0</v>
      </c>
      <c r="T220" s="27">
        <f t="shared" si="11"/>
        <v>0</v>
      </c>
    </row>
    <row r="221" spans="1:20" s="1" customFormat="1">
      <c r="A221" s="3">
        <v>15209</v>
      </c>
      <c r="B221" s="3" t="s">
        <v>184</v>
      </c>
      <c r="C221" s="10">
        <v>4748.3999999999996</v>
      </c>
      <c r="D221" s="10"/>
      <c r="E221" s="11"/>
      <c r="F221" s="18"/>
      <c r="G221" s="11"/>
      <c r="H221" s="11"/>
      <c r="I221" s="18"/>
      <c r="J221" s="11">
        <v>-1490.78</v>
      </c>
      <c r="K221" s="11"/>
      <c r="L221" s="12">
        <v>3257.62</v>
      </c>
      <c r="M221" s="25">
        <v>4748.3999999999996</v>
      </c>
      <c r="N221" s="26">
        <f>L221-M221</f>
        <v>-1490.7799999999997</v>
      </c>
      <c r="O221" s="26">
        <v>1490.78</v>
      </c>
      <c r="P221" s="26">
        <f t="shared" si="12"/>
        <v>0</v>
      </c>
      <c r="Q221" s="26">
        <v>0</v>
      </c>
      <c r="R221" s="26">
        <f t="shared" si="10"/>
        <v>0</v>
      </c>
      <c r="S221" s="26">
        <v>0</v>
      </c>
      <c r="T221" s="27">
        <f t="shared" si="11"/>
        <v>0</v>
      </c>
    </row>
    <row r="222" spans="1:20" s="1" customFormat="1">
      <c r="A222" s="3">
        <v>15318</v>
      </c>
      <c r="B222" s="3" t="s">
        <v>30</v>
      </c>
      <c r="C222" s="10">
        <v>287574.40000000002</v>
      </c>
      <c r="D222" s="10"/>
      <c r="E222" s="11"/>
      <c r="F222" s="18">
        <v>2508</v>
      </c>
      <c r="G222" s="11"/>
      <c r="H222" s="11"/>
      <c r="I222" s="18"/>
      <c r="J222" s="11">
        <v>-4039.2</v>
      </c>
      <c r="K222" s="11"/>
      <c r="L222" s="12">
        <v>286043.2</v>
      </c>
      <c r="M222" s="25">
        <v>287574.39999999997</v>
      </c>
      <c r="N222" s="26">
        <f>L222-M222</f>
        <v>-1531.1999999999534</v>
      </c>
      <c r="O222" s="26">
        <v>4039.2</v>
      </c>
      <c r="P222" s="26">
        <f t="shared" si="12"/>
        <v>0</v>
      </c>
      <c r="Q222" s="26">
        <v>5009.7299999999996</v>
      </c>
      <c r="R222" s="26">
        <f t="shared" si="10"/>
        <v>5009.7299999999996</v>
      </c>
      <c r="S222" s="26">
        <v>0</v>
      </c>
      <c r="T222" s="27">
        <f t="shared" si="11"/>
        <v>2508</v>
      </c>
    </row>
    <row r="223" spans="1:20" s="1" customFormat="1">
      <c r="A223" s="3">
        <v>15441</v>
      </c>
      <c r="B223" s="3" t="s">
        <v>7</v>
      </c>
      <c r="C223" s="10">
        <v>1643157.69</v>
      </c>
      <c r="D223" s="10"/>
      <c r="E223" s="11"/>
      <c r="F223" s="18"/>
      <c r="G223" s="11"/>
      <c r="H223" s="11"/>
      <c r="I223" s="18"/>
      <c r="J223" s="11">
        <v>-134219.51</v>
      </c>
      <c r="K223" s="11"/>
      <c r="L223" s="12">
        <v>1508938.18</v>
      </c>
      <c r="M223" s="25">
        <v>1473312.38</v>
      </c>
      <c r="N223" s="26">
        <f>L223-M223</f>
        <v>35625.800000000047</v>
      </c>
      <c r="O223" s="26">
        <v>134219.51</v>
      </c>
      <c r="P223" s="26">
        <f t="shared" si="12"/>
        <v>0</v>
      </c>
      <c r="Q223" s="26">
        <v>125298.69</v>
      </c>
      <c r="R223" s="26">
        <f t="shared" si="10"/>
        <v>125298.69</v>
      </c>
      <c r="S223" s="26">
        <v>0</v>
      </c>
      <c r="T223" s="27">
        <f t="shared" si="11"/>
        <v>0</v>
      </c>
    </row>
    <row r="224" spans="1:20" s="1" customFormat="1">
      <c r="A224" s="3">
        <v>15466</v>
      </c>
      <c r="B224" s="3" t="s">
        <v>274</v>
      </c>
      <c r="C224" s="10">
        <v>92.5</v>
      </c>
      <c r="D224" s="10"/>
      <c r="E224" s="11"/>
      <c r="F224" s="18"/>
      <c r="G224" s="11"/>
      <c r="H224" s="11">
        <v>74</v>
      </c>
      <c r="I224" s="18"/>
      <c r="J224" s="11"/>
      <c r="K224" s="11"/>
      <c r="L224" s="12">
        <v>166.5</v>
      </c>
      <c r="M224" s="25">
        <v>166.5</v>
      </c>
      <c r="N224" s="26">
        <f>L224-M224</f>
        <v>0</v>
      </c>
      <c r="O224" s="26">
        <v>0</v>
      </c>
      <c r="P224" s="26">
        <f t="shared" si="12"/>
        <v>0</v>
      </c>
      <c r="Q224" s="26">
        <v>0</v>
      </c>
      <c r="R224" s="26">
        <f t="shared" si="10"/>
        <v>0</v>
      </c>
      <c r="S224" s="26">
        <v>0</v>
      </c>
      <c r="T224" s="27">
        <f t="shared" si="11"/>
        <v>0</v>
      </c>
    </row>
    <row r="225" spans="1:20" s="1" customFormat="1">
      <c r="A225" s="3">
        <v>15497</v>
      </c>
      <c r="B225" s="3" t="s">
        <v>152</v>
      </c>
      <c r="C225" s="10">
        <v>22884.87</v>
      </c>
      <c r="D225" s="10"/>
      <c r="E225" s="11"/>
      <c r="F225" s="18"/>
      <c r="G225" s="11"/>
      <c r="H225" s="11"/>
      <c r="I225" s="18"/>
      <c r="J225" s="11">
        <v>-1028.4000000000001</v>
      </c>
      <c r="K225" s="11"/>
      <c r="L225" s="12">
        <v>21856.469999999998</v>
      </c>
      <c r="M225" s="25">
        <v>22884.87</v>
      </c>
      <c r="N225" s="26">
        <f>L225-M225</f>
        <v>-1028.4000000000015</v>
      </c>
      <c r="O225" s="26">
        <v>1028.4000000000001</v>
      </c>
      <c r="P225" s="26">
        <f t="shared" si="12"/>
        <v>0</v>
      </c>
      <c r="Q225" s="26">
        <v>0</v>
      </c>
      <c r="R225" s="26">
        <f t="shared" si="10"/>
        <v>0</v>
      </c>
      <c r="S225" s="26">
        <v>0</v>
      </c>
      <c r="T225" s="27">
        <f t="shared" si="11"/>
        <v>0</v>
      </c>
    </row>
    <row r="226" spans="1:20" s="1" customFormat="1">
      <c r="A226" s="3">
        <v>15520</v>
      </c>
      <c r="B226" s="3" t="s">
        <v>114</v>
      </c>
      <c r="C226" s="10">
        <v>41113.93</v>
      </c>
      <c r="D226" s="10"/>
      <c r="E226" s="11"/>
      <c r="F226" s="18"/>
      <c r="G226" s="11"/>
      <c r="H226" s="11"/>
      <c r="I226" s="18"/>
      <c r="J226" s="11">
        <v>-78.48</v>
      </c>
      <c r="K226" s="11">
        <v>-1003.2</v>
      </c>
      <c r="L226" s="12">
        <v>40032.25</v>
      </c>
      <c r="M226" s="25">
        <v>41113.93</v>
      </c>
      <c r="N226" s="26">
        <f>L226-M226</f>
        <v>-1081.6800000000003</v>
      </c>
      <c r="O226" s="26">
        <v>78.48</v>
      </c>
      <c r="P226" s="26">
        <f t="shared" si="12"/>
        <v>0</v>
      </c>
      <c r="Q226" s="26">
        <v>2222.1</v>
      </c>
      <c r="R226" s="26">
        <f t="shared" si="10"/>
        <v>1218.8999999999999</v>
      </c>
      <c r="S226" s="26">
        <v>1003.2</v>
      </c>
      <c r="T226" s="27">
        <f t="shared" si="11"/>
        <v>-1003.2</v>
      </c>
    </row>
    <row r="227" spans="1:20" s="1" customFormat="1">
      <c r="A227" s="3">
        <v>15739</v>
      </c>
      <c r="B227" s="3" t="s">
        <v>245</v>
      </c>
      <c r="C227" s="10"/>
      <c r="D227" s="10">
        <v>4512</v>
      </c>
      <c r="E227" s="11"/>
      <c r="F227" s="18"/>
      <c r="G227" s="11"/>
      <c r="H227" s="11"/>
      <c r="I227" s="18"/>
      <c r="J227" s="11"/>
      <c r="K227" s="11"/>
      <c r="L227" s="12">
        <v>4512</v>
      </c>
      <c r="M227" s="25">
        <v>4512</v>
      </c>
      <c r="N227" s="26">
        <f>L227-M227</f>
        <v>0</v>
      </c>
      <c r="O227" s="26">
        <v>0</v>
      </c>
      <c r="P227" s="26">
        <f t="shared" si="12"/>
        <v>0</v>
      </c>
      <c r="Q227" s="26">
        <v>0</v>
      </c>
      <c r="R227" s="26">
        <f t="shared" si="10"/>
        <v>0</v>
      </c>
      <c r="S227" s="26">
        <v>0</v>
      </c>
      <c r="T227" s="27">
        <f t="shared" si="11"/>
        <v>0</v>
      </c>
    </row>
    <row r="228" spans="1:20" s="1" customFormat="1">
      <c r="A228" s="3">
        <v>15756</v>
      </c>
      <c r="B228" s="3" t="s">
        <v>115</v>
      </c>
      <c r="C228" s="10">
        <v>40269.5</v>
      </c>
      <c r="D228" s="10"/>
      <c r="E228" s="11"/>
      <c r="F228" s="18"/>
      <c r="G228" s="11"/>
      <c r="H228" s="11"/>
      <c r="I228" s="18"/>
      <c r="J228" s="11">
        <v>-1387.5</v>
      </c>
      <c r="K228" s="11"/>
      <c r="L228" s="12">
        <v>38882</v>
      </c>
      <c r="M228" s="25">
        <v>40269.5</v>
      </c>
      <c r="N228" s="26">
        <f>L228-M228</f>
        <v>-1387.5</v>
      </c>
      <c r="O228" s="26">
        <v>1387.5</v>
      </c>
      <c r="P228" s="26">
        <f t="shared" si="12"/>
        <v>0</v>
      </c>
      <c r="Q228" s="26">
        <v>0</v>
      </c>
      <c r="R228" s="26">
        <f t="shared" si="10"/>
        <v>0</v>
      </c>
      <c r="S228" s="26">
        <v>0</v>
      </c>
      <c r="T228" s="27">
        <f t="shared" si="11"/>
        <v>0</v>
      </c>
    </row>
    <row r="229" spans="1:20" s="1" customFormat="1">
      <c r="A229" s="3">
        <v>15886</v>
      </c>
      <c r="B229" s="3" t="s">
        <v>125</v>
      </c>
      <c r="C229" s="10">
        <v>33541.199999999997</v>
      </c>
      <c r="D229" s="10"/>
      <c r="E229" s="11"/>
      <c r="F229" s="18"/>
      <c r="G229" s="11"/>
      <c r="H229" s="11"/>
      <c r="I229" s="18"/>
      <c r="J229" s="11">
        <v>-78.2</v>
      </c>
      <c r="K229" s="11">
        <v>-2450.08</v>
      </c>
      <c r="L229" s="12">
        <v>31012.92</v>
      </c>
      <c r="M229" s="25">
        <v>33541.199999999997</v>
      </c>
      <c r="N229" s="26">
        <f>L229-M229</f>
        <v>-2528.2799999999988</v>
      </c>
      <c r="O229" s="26">
        <v>78.2</v>
      </c>
      <c r="P229" s="26">
        <f t="shared" si="12"/>
        <v>0</v>
      </c>
      <c r="Q229" s="26">
        <v>0</v>
      </c>
      <c r="R229" s="26">
        <f t="shared" si="10"/>
        <v>-2450.08</v>
      </c>
      <c r="S229" s="26">
        <v>2441.64</v>
      </c>
      <c r="T229" s="27">
        <f t="shared" si="11"/>
        <v>-2441.64</v>
      </c>
    </row>
    <row r="230" spans="1:20" s="1" customFormat="1">
      <c r="A230" s="3">
        <v>15905</v>
      </c>
      <c r="B230" s="3" t="s">
        <v>41</v>
      </c>
      <c r="C230" s="10">
        <v>194173.22</v>
      </c>
      <c r="D230" s="10"/>
      <c r="E230" s="11"/>
      <c r="F230" s="18"/>
      <c r="G230" s="11"/>
      <c r="H230" s="11"/>
      <c r="I230" s="18"/>
      <c r="J230" s="11"/>
      <c r="K230" s="11"/>
      <c r="L230" s="12">
        <v>194173.22</v>
      </c>
      <c r="M230" s="25">
        <v>186346.8</v>
      </c>
      <c r="N230" s="26">
        <f>L230-M230</f>
        <v>7826.4200000000128</v>
      </c>
      <c r="O230" s="26">
        <v>0</v>
      </c>
      <c r="P230" s="26">
        <f t="shared" si="12"/>
        <v>0</v>
      </c>
      <c r="Q230" s="26">
        <v>0</v>
      </c>
      <c r="R230" s="26">
        <f t="shared" si="10"/>
        <v>0</v>
      </c>
      <c r="S230" s="26">
        <v>0</v>
      </c>
      <c r="T230" s="27">
        <f t="shared" si="11"/>
        <v>0</v>
      </c>
    </row>
    <row r="231" spans="1:20" s="1" customFormat="1">
      <c r="A231" s="3">
        <v>15943</v>
      </c>
      <c r="B231" s="3" t="s">
        <v>78</v>
      </c>
      <c r="C231" s="10">
        <v>85489.12</v>
      </c>
      <c r="D231" s="10"/>
      <c r="E231" s="11"/>
      <c r="F231" s="18"/>
      <c r="G231" s="11"/>
      <c r="H231" s="11"/>
      <c r="I231" s="18"/>
      <c r="J231" s="11"/>
      <c r="K231" s="11"/>
      <c r="L231" s="12">
        <v>85489.12</v>
      </c>
      <c r="M231" s="25">
        <v>83204.28</v>
      </c>
      <c r="N231" s="26">
        <f>L231-M231</f>
        <v>2284.8399999999965</v>
      </c>
      <c r="O231" s="26">
        <v>0</v>
      </c>
      <c r="P231" s="26">
        <f t="shared" si="12"/>
        <v>0</v>
      </c>
      <c r="Q231" s="26">
        <v>0</v>
      </c>
      <c r="R231" s="26">
        <f t="shared" si="10"/>
        <v>0</v>
      </c>
      <c r="S231" s="26">
        <v>0</v>
      </c>
      <c r="T231" s="27">
        <f t="shared" si="11"/>
        <v>0</v>
      </c>
    </row>
    <row r="232" spans="1:20" s="1" customFormat="1">
      <c r="A232" s="3">
        <v>15953</v>
      </c>
      <c r="B232" s="3" t="s">
        <v>250</v>
      </c>
      <c r="C232" s="10">
        <v>3604.97</v>
      </c>
      <c r="D232" s="10"/>
      <c r="E232" s="11"/>
      <c r="F232" s="18"/>
      <c r="G232" s="11"/>
      <c r="H232" s="11"/>
      <c r="I232" s="18"/>
      <c r="J232" s="11"/>
      <c r="K232" s="11"/>
      <c r="L232" s="12">
        <v>3604.97</v>
      </c>
      <c r="M232" s="25">
        <v>3635.76</v>
      </c>
      <c r="N232" s="26">
        <f>L232-M232</f>
        <v>-30.790000000000418</v>
      </c>
      <c r="O232" s="26">
        <v>0</v>
      </c>
      <c r="P232" s="26">
        <f t="shared" si="12"/>
        <v>0</v>
      </c>
      <c r="Q232" s="26">
        <v>0</v>
      </c>
      <c r="R232" s="26">
        <f t="shared" si="10"/>
        <v>0</v>
      </c>
      <c r="S232" s="26">
        <v>0</v>
      </c>
      <c r="T232" s="27">
        <f t="shared" si="11"/>
        <v>0</v>
      </c>
    </row>
    <row r="233" spans="1:20" s="1" customFormat="1">
      <c r="A233" s="3">
        <v>16038</v>
      </c>
      <c r="B233" s="3" t="s">
        <v>167</v>
      </c>
      <c r="C233" s="10">
        <v>17501.95</v>
      </c>
      <c r="D233" s="10"/>
      <c r="E233" s="11"/>
      <c r="F233" s="18"/>
      <c r="G233" s="11"/>
      <c r="H233" s="11"/>
      <c r="I233" s="18"/>
      <c r="J233" s="11">
        <v>-618.89</v>
      </c>
      <c r="K233" s="11"/>
      <c r="L233" s="12">
        <v>16883.060000000001</v>
      </c>
      <c r="M233" s="25">
        <v>17378.98</v>
      </c>
      <c r="N233" s="26">
        <f>L233-M233</f>
        <v>-495.91999999999825</v>
      </c>
      <c r="O233" s="26">
        <v>618.89</v>
      </c>
      <c r="P233" s="26">
        <f t="shared" si="12"/>
        <v>0</v>
      </c>
      <c r="Q233" s="26">
        <v>47.45</v>
      </c>
      <c r="R233" s="26">
        <f t="shared" si="10"/>
        <v>47.45</v>
      </c>
      <c r="S233" s="26">
        <v>0</v>
      </c>
      <c r="T233" s="27">
        <f t="shared" si="11"/>
        <v>0</v>
      </c>
    </row>
    <row r="234" spans="1:20" s="1" customFormat="1">
      <c r="A234" s="3">
        <v>16039</v>
      </c>
      <c r="B234" s="3" t="s">
        <v>161</v>
      </c>
      <c r="C234" s="10">
        <v>20127.66</v>
      </c>
      <c r="D234" s="10"/>
      <c r="E234" s="11"/>
      <c r="F234" s="18"/>
      <c r="G234" s="11"/>
      <c r="H234" s="11"/>
      <c r="I234" s="18"/>
      <c r="J234" s="11">
        <v>-110.62</v>
      </c>
      <c r="K234" s="11"/>
      <c r="L234" s="12">
        <v>20017.04</v>
      </c>
      <c r="M234" s="25">
        <v>19113.62</v>
      </c>
      <c r="N234" s="26">
        <f>L234-M234</f>
        <v>903.42000000000189</v>
      </c>
      <c r="O234" s="26">
        <v>110.32</v>
      </c>
      <c r="P234" s="26">
        <f t="shared" si="12"/>
        <v>-0.30000000000001137</v>
      </c>
      <c r="Q234" s="26">
        <v>0</v>
      </c>
      <c r="R234" s="26">
        <f t="shared" si="10"/>
        <v>0</v>
      </c>
      <c r="S234" s="26">
        <v>0</v>
      </c>
      <c r="T234" s="27">
        <f t="shared" si="11"/>
        <v>0</v>
      </c>
    </row>
    <row r="235" spans="1:20" s="1" customFormat="1">
      <c r="A235" s="3">
        <v>16061</v>
      </c>
      <c r="B235" s="3" t="s">
        <v>95</v>
      </c>
      <c r="C235" s="10">
        <v>61401.5</v>
      </c>
      <c r="D235" s="10"/>
      <c r="E235" s="11"/>
      <c r="F235" s="18"/>
      <c r="G235" s="11"/>
      <c r="H235" s="11"/>
      <c r="I235" s="18"/>
      <c r="J235" s="11">
        <v>-952.76</v>
      </c>
      <c r="K235" s="11"/>
      <c r="L235" s="12">
        <v>60448.74</v>
      </c>
      <c r="M235" s="25">
        <v>61401.5</v>
      </c>
      <c r="N235" s="26">
        <f>L235-M235</f>
        <v>-952.76000000000204</v>
      </c>
      <c r="O235" s="26">
        <v>952.76</v>
      </c>
      <c r="P235" s="26">
        <f t="shared" si="12"/>
        <v>0</v>
      </c>
      <c r="Q235" s="26">
        <v>0</v>
      </c>
      <c r="R235" s="26">
        <f t="shared" si="10"/>
        <v>0</v>
      </c>
      <c r="S235" s="26">
        <v>0</v>
      </c>
      <c r="T235" s="27">
        <f t="shared" si="11"/>
        <v>0</v>
      </c>
    </row>
    <row r="236" spans="1:20" s="1" customFormat="1">
      <c r="A236" s="3">
        <v>16062</v>
      </c>
      <c r="B236" s="3" t="s">
        <v>195</v>
      </c>
      <c r="C236" s="10">
        <v>20582.8</v>
      </c>
      <c r="D236" s="10"/>
      <c r="E236" s="11"/>
      <c r="F236" s="18"/>
      <c r="G236" s="11"/>
      <c r="H236" s="11"/>
      <c r="I236" s="18"/>
      <c r="J236" s="11"/>
      <c r="K236" s="11">
        <v>-825.77</v>
      </c>
      <c r="L236" s="12">
        <v>19757.03</v>
      </c>
      <c r="M236" s="25">
        <v>20582.8</v>
      </c>
      <c r="N236" s="26">
        <f>L236-M236</f>
        <v>-825.77000000000044</v>
      </c>
      <c r="O236" s="26">
        <v>0</v>
      </c>
      <c r="P236" s="26">
        <f t="shared" si="12"/>
        <v>0</v>
      </c>
      <c r="Q236" s="26">
        <v>0</v>
      </c>
      <c r="R236" s="26">
        <f t="shared" si="10"/>
        <v>-825.77</v>
      </c>
      <c r="S236" s="26">
        <v>825.77</v>
      </c>
      <c r="T236" s="27">
        <f t="shared" si="11"/>
        <v>-825.77</v>
      </c>
    </row>
    <row r="237" spans="1:20" s="1" customFormat="1">
      <c r="A237" s="3">
        <v>16099</v>
      </c>
      <c r="B237" s="3" t="s">
        <v>256</v>
      </c>
      <c r="C237" s="10">
        <v>3062.4</v>
      </c>
      <c r="D237" s="10"/>
      <c r="E237" s="11"/>
      <c r="F237" s="18"/>
      <c r="G237" s="11"/>
      <c r="H237" s="11"/>
      <c r="I237" s="18"/>
      <c r="J237" s="11"/>
      <c r="K237" s="11"/>
      <c r="L237" s="12">
        <v>3062.4</v>
      </c>
      <c r="M237" s="25">
        <v>2875.5</v>
      </c>
      <c r="N237" s="26">
        <f>L237-M237</f>
        <v>186.90000000000009</v>
      </c>
      <c r="O237" s="26">
        <v>0</v>
      </c>
      <c r="P237" s="26">
        <f t="shared" si="12"/>
        <v>0</v>
      </c>
      <c r="Q237" s="26">
        <v>0</v>
      </c>
      <c r="R237" s="26">
        <f t="shared" si="10"/>
        <v>0</v>
      </c>
      <c r="S237" s="26">
        <v>0</v>
      </c>
      <c r="T237" s="27">
        <f t="shared" si="11"/>
        <v>0</v>
      </c>
    </row>
    <row r="238" spans="1:20" s="1" customFormat="1">
      <c r="A238" s="3">
        <v>16165</v>
      </c>
      <c r="B238" s="3" t="s">
        <v>60</v>
      </c>
      <c r="C238" s="10">
        <v>129035.35</v>
      </c>
      <c r="D238" s="10"/>
      <c r="E238" s="11"/>
      <c r="F238" s="18"/>
      <c r="G238" s="11"/>
      <c r="H238" s="11"/>
      <c r="I238" s="18"/>
      <c r="J238" s="11">
        <v>-37.06</v>
      </c>
      <c r="K238" s="11"/>
      <c r="L238" s="12">
        <v>128998.29000000001</v>
      </c>
      <c r="M238" s="25">
        <v>130337.15</v>
      </c>
      <c r="N238" s="26">
        <f>L238-M238</f>
        <v>-1338.859999999986</v>
      </c>
      <c r="O238" s="26">
        <v>37.06</v>
      </c>
      <c r="P238" s="26">
        <f t="shared" si="12"/>
        <v>0</v>
      </c>
      <c r="Q238" s="26">
        <v>0</v>
      </c>
      <c r="R238" s="26">
        <f t="shared" si="10"/>
        <v>0</v>
      </c>
      <c r="S238" s="26">
        <v>0</v>
      </c>
      <c r="T238" s="27">
        <f t="shared" si="11"/>
        <v>0</v>
      </c>
    </row>
    <row r="239" spans="1:20" s="1" customFormat="1">
      <c r="A239" s="3">
        <v>16169</v>
      </c>
      <c r="B239" s="3" t="s">
        <v>55</v>
      </c>
      <c r="C239" s="10">
        <v>137842.79999999999</v>
      </c>
      <c r="D239" s="10"/>
      <c r="E239" s="11"/>
      <c r="F239" s="18"/>
      <c r="G239" s="11"/>
      <c r="H239" s="11"/>
      <c r="I239" s="18"/>
      <c r="J239" s="11"/>
      <c r="K239" s="11"/>
      <c r="L239" s="12">
        <v>137842.79999999999</v>
      </c>
      <c r="M239" s="25">
        <v>137842.79999999999</v>
      </c>
      <c r="N239" s="26">
        <f>L239-M239</f>
        <v>0</v>
      </c>
      <c r="O239" s="26">
        <v>0</v>
      </c>
      <c r="P239" s="26">
        <f t="shared" si="12"/>
        <v>0</v>
      </c>
      <c r="Q239" s="26">
        <v>0</v>
      </c>
      <c r="R239" s="26">
        <f t="shared" si="10"/>
        <v>0</v>
      </c>
      <c r="S239" s="26">
        <v>0</v>
      </c>
      <c r="T239" s="27">
        <f t="shared" si="11"/>
        <v>0</v>
      </c>
    </row>
    <row r="240" spans="1:20" s="1" customFormat="1">
      <c r="A240" s="3">
        <v>16351</v>
      </c>
      <c r="B240" s="3" t="s">
        <v>18</v>
      </c>
      <c r="C240" s="10">
        <v>501361.71</v>
      </c>
      <c r="D240" s="10"/>
      <c r="E240" s="11"/>
      <c r="F240" s="18"/>
      <c r="G240" s="11"/>
      <c r="H240" s="11"/>
      <c r="I240" s="18"/>
      <c r="J240" s="11"/>
      <c r="K240" s="11"/>
      <c r="L240" s="12">
        <v>501361.71</v>
      </c>
      <c r="M240" s="25">
        <v>481475.22</v>
      </c>
      <c r="N240" s="26">
        <f>L240-M240</f>
        <v>19886.490000000049</v>
      </c>
      <c r="O240" s="26">
        <v>0</v>
      </c>
      <c r="P240" s="26">
        <f t="shared" si="12"/>
        <v>0</v>
      </c>
      <c r="Q240" s="26">
        <v>0</v>
      </c>
      <c r="R240" s="26">
        <f t="shared" si="10"/>
        <v>0</v>
      </c>
      <c r="S240" s="26">
        <v>0</v>
      </c>
      <c r="T240" s="27">
        <f t="shared" si="11"/>
        <v>0</v>
      </c>
    </row>
    <row r="241" spans="1:20" s="1" customFormat="1">
      <c r="A241" s="3">
        <v>16355</v>
      </c>
      <c r="B241" s="3" t="s">
        <v>190</v>
      </c>
      <c r="C241" s="10">
        <v>13634</v>
      </c>
      <c r="D241" s="10"/>
      <c r="E241" s="11"/>
      <c r="F241" s="18"/>
      <c r="G241" s="11"/>
      <c r="H241" s="11"/>
      <c r="I241" s="18"/>
      <c r="J241" s="11">
        <v>-21.35</v>
      </c>
      <c r="K241" s="11"/>
      <c r="L241" s="12">
        <v>13612.65</v>
      </c>
      <c r="M241" s="25">
        <v>13353.59</v>
      </c>
      <c r="N241" s="26">
        <f>L241-M241</f>
        <v>259.05999999999949</v>
      </c>
      <c r="O241" s="26">
        <v>21.35</v>
      </c>
      <c r="P241" s="26">
        <f t="shared" si="12"/>
        <v>0</v>
      </c>
      <c r="Q241" s="26">
        <v>0</v>
      </c>
      <c r="R241" s="26">
        <f t="shared" si="10"/>
        <v>0</v>
      </c>
      <c r="S241" s="26">
        <v>0</v>
      </c>
      <c r="T241" s="27">
        <f t="shared" si="11"/>
        <v>0</v>
      </c>
    </row>
    <row r="242" spans="1:20" s="1" customFormat="1">
      <c r="A242" s="3">
        <v>16474</v>
      </c>
      <c r="B242" s="3" t="s">
        <v>63</v>
      </c>
      <c r="C242" s="10">
        <v>122338.13</v>
      </c>
      <c r="D242" s="10"/>
      <c r="E242" s="11"/>
      <c r="F242" s="18"/>
      <c r="G242" s="11"/>
      <c r="H242" s="11"/>
      <c r="I242" s="18"/>
      <c r="J242" s="11">
        <v>-6645.01</v>
      </c>
      <c r="K242" s="11"/>
      <c r="L242" s="12">
        <v>115693.12000000001</v>
      </c>
      <c r="M242" s="25">
        <v>119822.01</v>
      </c>
      <c r="N242" s="26">
        <f>L242-M242</f>
        <v>-4128.8899999999849</v>
      </c>
      <c r="O242" s="26">
        <v>6645.01</v>
      </c>
      <c r="P242" s="26">
        <f t="shared" si="12"/>
        <v>0</v>
      </c>
      <c r="Q242" s="26">
        <v>0</v>
      </c>
      <c r="R242" s="26">
        <f t="shared" si="10"/>
        <v>0</v>
      </c>
      <c r="S242" s="26">
        <v>0</v>
      </c>
      <c r="T242" s="27">
        <f t="shared" si="11"/>
        <v>0</v>
      </c>
    </row>
    <row r="243" spans="1:20" s="1" customFormat="1">
      <c r="A243" s="3">
        <v>16491</v>
      </c>
      <c r="B243" s="3" t="s">
        <v>4</v>
      </c>
      <c r="C243" s="10">
        <v>6302609.2199999997</v>
      </c>
      <c r="D243" s="10"/>
      <c r="E243" s="11"/>
      <c r="F243" s="18"/>
      <c r="G243" s="11"/>
      <c r="H243" s="11"/>
      <c r="I243" s="18"/>
      <c r="J243" s="11">
        <v>-114293.61</v>
      </c>
      <c r="K243" s="11"/>
      <c r="L243" s="12">
        <v>6188315.6099999994</v>
      </c>
      <c r="M243" s="25">
        <v>6173516.3799999999</v>
      </c>
      <c r="N243" s="26">
        <f>L243-M243</f>
        <v>14799.229999999516</v>
      </c>
      <c r="O243" s="26">
        <v>114293.61</v>
      </c>
      <c r="P243" s="26">
        <f t="shared" si="12"/>
        <v>0</v>
      </c>
      <c r="Q243" s="26">
        <v>0</v>
      </c>
      <c r="R243" s="26">
        <f t="shared" si="10"/>
        <v>0</v>
      </c>
      <c r="S243" s="26">
        <v>0</v>
      </c>
      <c r="T243" s="27">
        <f t="shared" si="11"/>
        <v>0</v>
      </c>
    </row>
    <row r="244" spans="1:20" s="1" customFormat="1">
      <c r="A244" s="3">
        <v>16654</v>
      </c>
      <c r="B244" s="3" t="s">
        <v>67</v>
      </c>
      <c r="C244" s="10">
        <v>108130.39</v>
      </c>
      <c r="D244" s="10"/>
      <c r="E244" s="11"/>
      <c r="F244" s="18"/>
      <c r="G244" s="11"/>
      <c r="H244" s="11"/>
      <c r="I244" s="18"/>
      <c r="J244" s="11">
        <v>-1051.79</v>
      </c>
      <c r="K244" s="11"/>
      <c r="L244" s="12">
        <v>107078.6</v>
      </c>
      <c r="M244" s="25">
        <v>108130.39</v>
      </c>
      <c r="N244" s="26">
        <f>L244-M244</f>
        <v>-1051.7899999999936</v>
      </c>
      <c r="O244" s="26">
        <v>1051.79</v>
      </c>
      <c r="P244" s="26">
        <f t="shared" si="12"/>
        <v>0</v>
      </c>
      <c r="Q244" s="26">
        <v>0</v>
      </c>
      <c r="R244" s="26">
        <f t="shared" si="10"/>
        <v>0</v>
      </c>
      <c r="S244" s="26">
        <v>0</v>
      </c>
      <c r="T244" s="27">
        <f t="shared" si="11"/>
        <v>0</v>
      </c>
    </row>
    <row r="245" spans="1:20" s="1" customFormat="1">
      <c r="A245" s="3">
        <v>16727</v>
      </c>
      <c r="B245" s="3" t="s">
        <v>74</v>
      </c>
      <c r="C245" s="10">
        <v>89603.9</v>
      </c>
      <c r="D245" s="10"/>
      <c r="E245" s="11"/>
      <c r="F245" s="18"/>
      <c r="G245" s="11"/>
      <c r="H245" s="11"/>
      <c r="I245" s="18"/>
      <c r="J245" s="11">
        <v>-2494.3000000000002</v>
      </c>
      <c r="K245" s="11"/>
      <c r="L245" s="12">
        <v>87109.599999999991</v>
      </c>
      <c r="M245" s="25">
        <v>89603.9</v>
      </c>
      <c r="N245" s="26">
        <f>L245-M245</f>
        <v>-2494.3000000000029</v>
      </c>
      <c r="O245" s="26">
        <v>2494.3000000000002</v>
      </c>
      <c r="P245" s="26">
        <f t="shared" si="12"/>
        <v>0</v>
      </c>
      <c r="Q245" s="26">
        <v>0</v>
      </c>
      <c r="R245" s="26">
        <f t="shared" si="10"/>
        <v>0</v>
      </c>
      <c r="S245" s="26">
        <v>0</v>
      </c>
      <c r="T245" s="27">
        <f t="shared" si="11"/>
        <v>0</v>
      </c>
    </row>
    <row r="246" spans="1:20" s="1" customFormat="1">
      <c r="A246" s="3">
        <v>16733</v>
      </c>
      <c r="B246" s="3" t="s">
        <v>266</v>
      </c>
      <c r="C246" s="10">
        <v>1371.93</v>
      </c>
      <c r="D246" s="10"/>
      <c r="E246" s="11"/>
      <c r="F246" s="18"/>
      <c r="G246" s="11"/>
      <c r="H246" s="11"/>
      <c r="I246" s="18"/>
      <c r="J246" s="11">
        <v>-3.46</v>
      </c>
      <c r="K246" s="11"/>
      <c r="L246" s="12">
        <v>1368.47</v>
      </c>
      <c r="M246" s="25">
        <v>1316.64</v>
      </c>
      <c r="N246" s="26">
        <f>L246-M246</f>
        <v>51.829999999999927</v>
      </c>
      <c r="O246" s="26">
        <v>3.46</v>
      </c>
      <c r="P246" s="26">
        <f t="shared" si="12"/>
        <v>0</v>
      </c>
      <c r="Q246" s="26">
        <v>0</v>
      </c>
      <c r="R246" s="26">
        <f t="shared" si="10"/>
        <v>0</v>
      </c>
      <c r="S246" s="26">
        <v>0</v>
      </c>
      <c r="T246" s="27">
        <f t="shared" si="11"/>
        <v>0</v>
      </c>
    </row>
    <row r="247" spans="1:20" s="1" customFormat="1">
      <c r="A247" s="3">
        <v>16846</v>
      </c>
      <c r="B247" s="3" t="s">
        <v>9</v>
      </c>
      <c r="C247" s="10">
        <v>961557.5</v>
      </c>
      <c r="D247" s="10"/>
      <c r="E247" s="11"/>
      <c r="F247" s="18"/>
      <c r="G247" s="11"/>
      <c r="H247" s="11"/>
      <c r="I247" s="18"/>
      <c r="J247" s="11">
        <v>-11344.74</v>
      </c>
      <c r="K247" s="11"/>
      <c r="L247" s="12">
        <v>950212.76</v>
      </c>
      <c r="M247" s="25">
        <v>961557.5</v>
      </c>
      <c r="N247" s="26">
        <f>L247-M247</f>
        <v>-11344.739999999991</v>
      </c>
      <c r="O247" s="26">
        <v>11344.74</v>
      </c>
      <c r="P247" s="26">
        <f t="shared" si="12"/>
        <v>0</v>
      </c>
      <c r="Q247" s="26">
        <v>0</v>
      </c>
      <c r="R247" s="26">
        <f t="shared" si="10"/>
        <v>0</v>
      </c>
      <c r="S247" s="26">
        <v>0</v>
      </c>
      <c r="T247" s="27">
        <f t="shared" si="11"/>
        <v>0</v>
      </c>
    </row>
    <row r="248" spans="1:20" s="1" customFormat="1">
      <c r="A248" s="3">
        <v>16857</v>
      </c>
      <c r="B248" s="3" t="s">
        <v>217</v>
      </c>
      <c r="C248" s="10">
        <v>8275.25</v>
      </c>
      <c r="D248" s="10"/>
      <c r="E248" s="11"/>
      <c r="F248" s="18"/>
      <c r="G248" s="11"/>
      <c r="H248" s="11"/>
      <c r="I248" s="18"/>
      <c r="J248" s="11"/>
      <c r="K248" s="11">
        <v>-376.78</v>
      </c>
      <c r="L248" s="12">
        <v>7898.47</v>
      </c>
      <c r="M248" s="25">
        <v>8275.25</v>
      </c>
      <c r="N248" s="26">
        <f>L248-M248</f>
        <v>-376.77999999999975</v>
      </c>
      <c r="O248" s="26">
        <v>0</v>
      </c>
      <c r="P248" s="26">
        <f t="shared" si="12"/>
        <v>0</v>
      </c>
      <c r="Q248" s="26">
        <v>0</v>
      </c>
      <c r="R248" s="26">
        <f t="shared" si="10"/>
        <v>-376.78</v>
      </c>
      <c r="S248" s="26">
        <v>376.78</v>
      </c>
      <c r="T248" s="27">
        <f t="shared" si="11"/>
        <v>-376.78</v>
      </c>
    </row>
    <row r="249" spans="1:20" s="1" customFormat="1">
      <c r="A249" s="3">
        <v>16900</v>
      </c>
      <c r="B249" s="3" t="s">
        <v>258</v>
      </c>
      <c r="C249" s="10">
        <v>2660</v>
      </c>
      <c r="D249" s="10"/>
      <c r="E249" s="11"/>
      <c r="F249" s="18"/>
      <c r="G249" s="11"/>
      <c r="H249" s="11"/>
      <c r="I249" s="18"/>
      <c r="J249" s="11"/>
      <c r="K249" s="11"/>
      <c r="L249" s="12">
        <v>2660</v>
      </c>
      <c r="M249" s="25">
        <v>2660</v>
      </c>
      <c r="N249" s="26">
        <f>L249-M249</f>
        <v>0</v>
      </c>
      <c r="O249" s="26">
        <v>0</v>
      </c>
      <c r="P249" s="26">
        <f t="shared" si="12"/>
        <v>0</v>
      </c>
      <c r="Q249" s="26">
        <v>0</v>
      </c>
      <c r="R249" s="26">
        <f t="shared" si="10"/>
        <v>0</v>
      </c>
      <c r="S249" s="26">
        <v>0</v>
      </c>
      <c r="T249" s="27">
        <f t="shared" si="11"/>
        <v>0</v>
      </c>
    </row>
    <row r="250" spans="1:20" s="1" customFormat="1">
      <c r="A250" s="3">
        <v>16948</v>
      </c>
      <c r="B250" s="3" t="s">
        <v>79</v>
      </c>
      <c r="C250" s="10">
        <v>90421.85</v>
      </c>
      <c r="D250" s="10"/>
      <c r="E250" s="11"/>
      <c r="F250" s="18"/>
      <c r="G250" s="11"/>
      <c r="H250" s="11"/>
      <c r="I250" s="18"/>
      <c r="J250" s="11">
        <v>-5923.84</v>
      </c>
      <c r="K250" s="11"/>
      <c r="L250" s="12">
        <v>84498.010000000009</v>
      </c>
      <c r="M250" s="25">
        <v>90421.849999999991</v>
      </c>
      <c r="N250" s="26">
        <f>L250-M250</f>
        <v>-5923.839999999982</v>
      </c>
      <c r="O250" s="26">
        <v>5923.84</v>
      </c>
      <c r="P250" s="26">
        <f t="shared" si="12"/>
        <v>0</v>
      </c>
      <c r="Q250" s="26">
        <v>0</v>
      </c>
      <c r="R250" s="26">
        <f t="shared" si="10"/>
        <v>0</v>
      </c>
      <c r="S250" s="26">
        <v>0</v>
      </c>
      <c r="T250" s="27">
        <f t="shared" si="11"/>
        <v>0</v>
      </c>
    </row>
    <row r="251" spans="1:20" s="1" customFormat="1">
      <c r="A251" s="3">
        <v>16963</v>
      </c>
      <c r="B251" s="3" t="s">
        <v>25</v>
      </c>
      <c r="C251" s="10">
        <v>255624.4</v>
      </c>
      <c r="D251" s="10"/>
      <c r="E251" s="11"/>
      <c r="F251" s="18"/>
      <c r="G251" s="11"/>
      <c r="H251" s="11"/>
      <c r="I251" s="18"/>
      <c r="J251" s="11"/>
      <c r="K251" s="11">
        <v>-3794.96</v>
      </c>
      <c r="L251" s="12">
        <v>251829.44</v>
      </c>
      <c r="M251" s="25">
        <v>255624.4</v>
      </c>
      <c r="N251" s="26">
        <f>L251-M251</f>
        <v>-3794.9599999999919</v>
      </c>
      <c r="O251" s="26">
        <v>0</v>
      </c>
      <c r="P251" s="26">
        <f t="shared" si="12"/>
        <v>0</v>
      </c>
      <c r="Q251" s="26">
        <v>522.6</v>
      </c>
      <c r="R251" s="26">
        <f t="shared" si="10"/>
        <v>-3272.36</v>
      </c>
      <c r="S251" s="26">
        <v>3794.96</v>
      </c>
      <c r="T251" s="27">
        <f t="shared" si="11"/>
        <v>-3794.96</v>
      </c>
    </row>
    <row r="252" spans="1:20" s="1" customFormat="1">
      <c r="A252" s="3">
        <v>16989</v>
      </c>
      <c r="B252" s="3" t="s">
        <v>203</v>
      </c>
      <c r="C252" s="10">
        <v>10460</v>
      </c>
      <c r="D252" s="10"/>
      <c r="E252" s="11"/>
      <c r="F252" s="18"/>
      <c r="G252" s="11"/>
      <c r="H252" s="11"/>
      <c r="I252" s="18"/>
      <c r="J252" s="11">
        <v>-1831.5</v>
      </c>
      <c r="K252" s="11"/>
      <c r="L252" s="12">
        <v>8628.5</v>
      </c>
      <c r="M252" s="25">
        <v>10460</v>
      </c>
      <c r="N252" s="26">
        <f>L252-M252</f>
        <v>-1831.5</v>
      </c>
      <c r="O252" s="26">
        <v>1831.5</v>
      </c>
      <c r="P252" s="26">
        <f t="shared" si="12"/>
        <v>0</v>
      </c>
      <c r="Q252" s="26">
        <v>0</v>
      </c>
      <c r="R252" s="26">
        <f t="shared" si="10"/>
        <v>0</v>
      </c>
      <c r="S252" s="26">
        <v>0</v>
      </c>
      <c r="T252" s="27">
        <f t="shared" si="11"/>
        <v>0</v>
      </c>
    </row>
    <row r="253" spans="1:20" s="1" customFormat="1">
      <c r="A253" s="3">
        <v>16990</v>
      </c>
      <c r="B253" s="3" t="s">
        <v>124</v>
      </c>
      <c r="C253" s="10">
        <v>33907.17</v>
      </c>
      <c r="D253" s="10"/>
      <c r="E253" s="11"/>
      <c r="F253" s="18"/>
      <c r="G253" s="11"/>
      <c r="H253" s="11"/>
      <c r="I253" s="18"/>
      <c r="J253" s="11"/>
      <c r="K253" s="11">
        <v>-1700.67</v>
      </c>
      <c r="L253" s="12">
        <v>32206.5</v>
      </c>
      <c r="M253" s="25">
        <v>33907.17</v>
      </c>
      <c r="N253" s="26">
        <f>L253-M253</f>
        <v>-1700.6699999999983</v>
      </c>
      <c r="O253" s="26">
        <v>0</v>
      </c>
      <c r="P253" s="26">
        <f t="shared" si="12"/>
        <v>0</v>
      </c>
      <c r="Q253" s="26">
        <v>0</v>
      </c>
      <c r="R253" s="26">
        <f t="shared" si="10"/>
        <v>-1700.67</v>
      </c>
      <c r="S253" s="26">
        <v>1700.67</v>
      </c>
      <c r="T253" s="27">
        <f t="shared" si="11"/>
        <v>-1700.67</v>
      </c>
    </row>
    <row r="254" spans="1:20" s="1" customFormat="1">
      <c r="A254" s="3">
        <v>16999</v>
      </c>
      <c r="B254" s="3" t="s">
        <v>126</v>
      </c>
      <c r="C254" s="10">
        <v>33400</v>
      </c>
      <c r="D254" s="10"/>
      <c r="E254" s="11"/>
      <c r="F254" s="18"/>
      <c r="G254" s="11"/>
      <c r="H254" s="11"/>
      <c r="I254" s="18"/>
      <c r="J254" s="11"/>
      <c r="K254" s="11">
        <v>-465.5</v>
      </c>
      <c r="L254" s="12">
        <v>32934.5</v>
      </c>
      <c r="M254" s="25">
        <v>33400</v>
      </c>
      <c r="N254" s="26">
        <f>L254-M254</f>
        <v>-465.5</v>
      </c>
      <c r="O254" s="26">
        <v>0</v>
      </c>
      <c r="P254" s="26">
        <f t="shared" si="12"/>
        <v>0</v>
      </c>
      <c r="Q254" s="26">
        <v>0</v>
      </c>
      <c r="R254" s="26">
        <f t="shared" si="10"/>
        <v>-465.5</v>
      </c>
      <c r="S254" s="26">
        <v>465.5</v>
      </c>
      <c r="T254" s="27">
        <f t="shared" si="11"/>
        <v>-465.5</v>
      </c>
    </row>
    <row r="255" spans="1:20" s="1" customFormat="1">
      <c r="A255" s="3">
        <v>17017</v>
      </c>
      <c r="B255" s="3" t="s">
        <v>38</v>
      </c>
      <c r="C255" s="10">
        <v>362697.18</v>
      </c>
      <c r="D255" s="10"/>
      <c r="E255" s="11"/>
      <c r="F255" s="18"/>
      <c r="G255" s="11"/>
      <c r="H255" s="11"/>
      <c r="I255" s="18"/>
      <c r="J255" s="11">
        <v>-694.68</v>
      </c>
      <c r="K255" s="11"/>
      <c r="L255" s="12">
        <v>362002.5</v>
      </c>
      <c r="M255" s="25">
        <v>362697.17999999993</v>
      </c>
      <c r="N255" s="26">
        <f>L255-M255</f>
        <v>-694.67999999993481</v>
      </c>
      <c r="O255" s="26">
        <v>694.68</v>
      </c>
      <c r="P255" s="26">
        <f t="shared" si="12"/>
        <v>0</v>
      </c>
      <c r="Q255" s="26">
        <v>0</v>
      </c>
      <c r="R255" s="26">
        <f t="shared" si="10"/>
        <v>0</v>
      </c>
      <c r="S255" s="26">
        <v>0</v>
      </c>
      <c r="T255" s="27">
        <f t="shared" si="11"/>
        <v>0</v>
      </c>
    </row>
    <row r="256" spans="1:20" s="1" customFormat="1">
      <c r="A256" s="3">
        <v>17023</v>
      </c>
      <c r="B256" s="3" t="s">
        <v>247</v>
      </c>
      <c r="C256" s="10">
        <v>4213</v>
      </c>
      <c r="D256" s="10"/>
      <c r="E256" s="11"/>
      <c r="F256" s="18"/>
      <c r="G256" s="11"/>
      <c r="H256" s="11"/>
      <c r="I256" s="18"/>
      <c r="J256" s="11">
        <v>-1116</v>
      </c>
      <c r="K256" s="11"/>
      <c r="L256" s="12">
        <v>3097</v>
      </c>
      <c r="M256" s="25">
        <v>4213</v>
      </c>
      <c r="N256" s="26">
        <f>L256-M256</f>
        <v>-1116</v>
      </c>
      <c r="O256" s="26">
        <v>1116</v>
      </c>
      <c r="P256" s="26">
        <f t="shared" si="12"/>
        <v>0</v>
      </c>
      <c r="Q256" s="26">
        <v>0</v>
      </c>
      <c r="R256" s="26">
        <f t="shared" si="10"/>
        <v>0</v>
      </c>
      <c r="S256" s="26">
        <v>0</v>
      </c>
      <c r="T256" s="27">
        <f t="shared" si="11"/>
        <v>0</v>
      </c>
    </row>
    <row r="257" spans="1:20" s="1" customFormat="1">
      <c r="A257" s="3">
        <v>17027</v>
      </c>
      <c r="B257" s="3" t="s">
        <v>154</v>
      </c>
      <c r="C257" s="10">
        <v>23392.05</v>
      </c>
      <c r="D257" s="10"/>
      <c r="E257" s="11"/>
      <c r="F257" s="18"/>
      <c r="G257" s="11"/>
      <c r="H257" s="11"/>
      <c r="I257" s="18"/>
      <c r="J257" s="11"/>
      <c r="K257" s="11"/>
      <c r="L257" s="12">
        <v>23392.05</v>
      </c>
      <c r="M257" s="25">
        <v>22632.2</v>
      </c>
      <c r="N257" s="26">
        <f>L257-M257</f>
        <v>759.84999999999854</v>
      </c>
      <c r="O257" s="26">
        <v>0</v>
      </c>
      <c r="P257" s="26">
        <f t="shared" si="12"/>
        <v>0</v>
      </c>
      <c r="Q257" s="26">
        <v>0</v>
      </c>
      <c r="R257" s="26">
        <f t="shared" si="10"/>
        <v>0</v>
      </c>
      <c r="S257" s="26">
        <v>0</v>
      </c>
      <c r="T257" s="27">
        <f t="shared" si="11"/>
        <v>0</v>
      </c>
    </row>
    <row r="258" spans="1:20" s="1" customFormat="1">
      <c r="A258" s="3">
        <v>17035</v>
      </c>
      <c r="B258" s="3" t="s">
        <v>57</v>
      </c>
      <c r="C258" s="10">
        <v>155436.69</v>
      </c>
      <c r="D258" s="10"/>
      <c r="E258" s="11"/>
      <c r="F258" s="18"/>
      <c r="G258" s="11"/>
      <c r="H258" s="11"/>
      <c r="I258" s="18"/>
      <c r="J258" s="11">
        <v>-397.44</v>
      </c>
      <c r="K258" s="11"/>
      <c r="L258" s="12">
        <v>155039.25</v>
      </c>
      <c r="M258" s="25">
        <v>134739.82</v>
      </c>
      <c r="N258" s="26">
        <f>L258-M258</f>
        <v>20299.429999999993</v>
      </c>
      <c r="O258" s="26">
        <v>397.44</v>
      </c>
      <c r="P258" s="26">
        <f t="shared" si="12"/>
        <v>0</v>
      </c>
      <c r="Q258" s="26">
        <v>0</v>
      </c>
      <c r="R258" s="26">
        <f t="shared" si="10"/>
        <v>0</v>
      </c>
      <c r="S258" s="26">
        <v>0</v>
      </c>
      <c r="T258" s="27">
        <f t="shared" si="11"/>
        <v>0</v>
      </c>
    </row>
    <row r="259" spans="1:20" s="1" customFormat="1">
      <c r="A259" s="3">
        <v>17048</v>
      </c>
      <c r="B259" s="3" t="s">
        <v>186</v>
      </c>
      <c r="C259" s="10">
        <v>13820</v>
      </c>
      <c r="D259" s="10"/>
      <c r="E259" s="11"/>
      <c r="F259" s="18"/>
      <c r="G259" s="11"/>
      <c r="H259" s="11"/>
      <c r="I259" s="18"/>
      <c r="J259" s="11"/>
      <c r="K259" s="11"/>
      <c r="L259" s="12">
        <v>13820</v>
      </c>
      <c r="M259" s="25">
        <v>13820</v>
      </c>
      <c r="N259" s="26">
        <f>L259-M259</f>
        <v>0</v>
      </c>
      <c r="O259" s="26">
        <v>0</v>
      </c>
      <c r="P259" s="26">
        <f t="shared" si="12"/>
        <v>0</v>
      </c>
      <c r="Q259" s="26">
        <v>0</v>
      </c>
      <c r="R259" s="26">
        <f t="shared" si="10"/>
        <v>0</v>
      </c>
      <c r="S259" s="26">
        <v>0</v>
      </c>
      <c r="T259" s="27">
        <f t="shared" si="11"/>
        <v>0</v>
      </c>
    </row>
    <row r="260" spans="1:20" s="1" customFormat="1">
      <c r="A260" s="3">
        <v>17064</v>
      </c>
      <c r="B260" s="3" t="s">
        <v>22</v>
      </c>
      <c r="C260" s="10">
        <v>314662.67</v>
      </c>
      <c r="D260" s="10"/>
      <c r="E260" s="11"/>
      <c r="F260" s="18"/>
      <c r="G260" s="11"/>
      <c r="H260" s="11"/>
      <c r="I260" s="18"/>
      <c r="J260" s="11">
        <v>-8642.2800000000007</v>
      </c>
      <c r="K260" s="11"/>
      <c r="L260" s="12">
        <v>306020.38999999996</v>
      </c>
      <c r="M260" s="25">
        <v>308191.01</v>
      </c>
      <c r="N260" s="26">
        <f>L260-M260</f>
        <v>-2170.6200000000536</v>
      </c>
      <c r="O260" s="26">
        <v>8642.2800000000007</v>
      </c>
      <c r="P260" s="26">
        <f t="shared" si="12"/>
        <v>0</v>
      </c>
      <c r="Q260" s="26">
        <v>0</v>
      </c>
      <c r="R260" s="26">
        <f t="shared" ref="R260:R285" si="13">K260+Q260</f>
        <v>0</v>
      </c>
      <c r="S260" s="26">
        <v>0</v>
      </c>
      <c r="T260" s="27">
        <f t="shared" ref="T260:T285" si="14">F260-S260</f>
        <v>0</v>
      </c>
    </row>
    <row r="261" spans="1:20" s="1" customFormat="1">
      <c r="A261" s="3">
        <v>17065</v>
      </c>
      <c r="B261" s="3" t="s">
        <v>155</v>
      </c>
      <c r="C261" s="10">
        <v>22184.400000000001</v>
      </c>
      <c r="D261" s="10"/>
      <c r="E261" s="11"/>
      <c r="F261" s="18"/>
      <c r="G261" s="11"/>
      <c r="H261" s="11"/>
      <c r="I261" s="18"/>
      <c r="J261" s="11"/>
      <c r="K261" s="11"/>
      <c r="L261" s="12">
        <v>22184.400000000001</v>
      </c>
      <c r="M261" s="25">
        <v>22184.400000000001</v>
      </c>
      <c r="N261" s="26">
        <f>L261-M261</f>
        <v>0</v>
      </c>
      <c r="O261" s="26">
        <v>0</v>
      </c>
      <c r="P261" s="26">
        <f t="shared" si="12"/>
        <v>0</v>
      </c>
      <c r="Q261" s="26">
        <v>0</v>
      </c>
      <c r="R261" s="26">
        <f t="shared" si="13"/>
        <v>0</v>
      </c>
      <c r="S261" s="26">
        <v>0</v>
      </c>
      <c r="T261" s="27">
        <f t="shared" si="14"/>
        <v>0</v>
      </c>
    </row>
    <row r="262" spans="1:20" s="1" customFormat="1">
      <c r="A262" s="3">
        <v>17072</v>
      </c>
      <c r="B262" s="3" t="s">
        <v>235</v>
      </c>
      <c r="C262" s="10">
        <v>6081.3</v>
      </c>
      <c r="D262" s="10"/>
      <c r="E262" s="11"/>
      <c r="F262" s="18"/>
      <c r="G262" s="11"/>
      <c r="H262" s="11"/>
      <c r="I262" s="18"/>
      <c r="J262" s="11"/>
      <c r="K262" s="11"/>
      <c r="L262" s="12">
        <v>6081.3</v>
      </c>
      <c r="M262" s="25">
        <v>5712.97</v>
      </c>
      <c r="N262" s="26">
        <f>L262-M262</f>
        <v>368.32999999999993</v>
      </c>
      <c r="O262" s="26">
        <v>0</v>
      </c>
      <c r="P262" s="26">
        <f t="shared" si="12"/>
        <v>0</v>
      </c>
      <c r="Q262" s="26">
        <v>0</v>
      </c>
      <c r="R262" s="26">
        <f t="shared" si="13"/>
        <v>0</v>
      </c>
      <c r="S262" s="26">
        <v>0</v>
      </c>
      <c r="T262" s="27">
        <f t="shared" si="14"/>
        <v>0</v>
      </c>
    </row>
    <row r="263" spans="1:20" s="1" customFormat="1">
      <c r="A263" s="3">
        <v>17077</v>
      </c>
      <c r="B263" s="3" t="s">
        <v>72</v>
      </c>
      <c r="C263" s="10">
        <v>94706.7</v>
      </c>
      <c r="D263" s="10"/>
      <c r="E263" s="11"/>
      <c r="F263" s="18"/>
      <c r="G263" s="11"/>
      <c r="H263" s="11"/>
      <c r="I263" s="18"/>
      <c r="J263" s="11">
        <v>-505.5</v>
      </c>
      <c r="K263" s="11">
        <v>-402.46</v>
      </c>
      <c r="L263" s="12">
        <v>93798.739999999991</v>
      </c>
      <c r="M263" s="25">
        <v>94706.7</v>
      </c>
      <c r="N263" s="26">
        <f>L263-M263</f>
        <v>-907.9600000000064</v>
      </c>
      <c r="O263" s="26">
        <v>505.5</v>
      </c>
      <c r="P263" s="26">
        <f t="shared" si="12"/>
        <v>0</v>
      </c>
      <c r="Q263" s="26">
        <v>0</v>
      </c>
      <c r="R263" s="26">
        <f t="shared" si="13"/>
        <v>-402.46</v>
      </c>
      <c r="S263" s="26">
        <v>402.46</v>
      </c>
      <c r="T263" s="27">
        <f t="shared" si="14"/>
        <v>-402.46</v>
      </c>
    </row>
    <row r="264" spans="1:20" s="1" customFormat="1">
      <c r="A264" s="3">
        <v>17702</v>
      </c>
      <c r="B264" s="3" t="s">
        <v>223</v>
      </c>
      <c r="C264" s="10">
        <v>7099.2</v>
      </c>
      <c r="D264" s="10"/>
      <c r="E264" s="11"/>
      <c r="F264" s="18"/>
      <c r="G264" s="11"/>
      <c r="H264" s="11"/>
      <c r="I264" s="18"/>
      <c r="J264" s="11"/>
      <c r="K264" s="11"/>
      <c r="L264" s="12">
        <v>7099.2</v>
      </c>
      <c r="M264" s="25">
        <v>7099.2</v>
      </c>
      <c r="N264" s="26">
        <f>L264-M264</f>
        <v>0</v>
      </c>
      <c r="O264" s="26">
        <v>0</v>
      </c>
      <c r="P264" s="26">
        <f t="shared" si="12"/>
        <v>0</v>
      </c>
      <c r="Q264" s="26">
        <v>0</v>
      </c>
      <c r="R264" s="26">
        <f t="shared" si="13"/>
        <v>0</v>
      </c>
      <c r="S264" s="26">
        <v>0</v>
      </c>
      <c r="T264" s="27">
        <f t="shared" si="14"/>
        <v>0</v>
      </c>
    </row>
    <row r="265" spans="1:20" s="1" customFormat="1">
      <c r="A265" s="3">
        <v>18958</v>
      </c>
      <c r="B265" s="3" t="s">
        <v>183</v>
      </c>
      <c r="C265" s="10">
        <v>20916.96</v>
      </c>
      <c r="D265" s="10"/>
      <c r="E265" s="11"/>
      <c r="F265" s="18"/>
      <c r="G265" s="11"/>
      <c r="H265" s="11"/>
      <c r="I265" s="18"/>
      <c r="J265" s="11"/>
      <c r="K265" s="11"/>
      <c r="L265" s="12">
        <v>20916.96</v>
      </c>
      <c r="M265" s="25">
        <v>14871</v>
      </c>
      <c r="N265" s="26">
        <f>L265-M265</f>
        <v>6045.9599999999991</v>
      </c>
      <c r="O265" s="26">
        <v>0</v>
      </c>
      <c r="P265" s="26">
        <f t="shared" si="12"/>
        <v>0</v>
      </c>
      <c r="Q265" s="26">
        <v>397.8</v>
      </c>
      <c r="R265" s="26">
        <f t="shared" si="13"/>
        <v>397.8</v>
      </c>
      <c r="S265" s="26">
        <v>0</v>
      </c>
      <c r="T265" s="27">
        <f t="shared" si="14"/>
        <v>0</v>
      </c>
    </row>
    <row r="266" spans="1:20" s="1" customFormat="1">
      <c r="A266" s="3">
        <v>18979</v>
      </c>
      <c r="B266" s="3" t="s">
        <v>237</v>
      </c>
      <c r="C266" s="10">
        <v>5394.24</v>
      </c>
      <c r="D266" s="10"/>
      <c r="E266" s="11"/>
      <c r="F266" s="18"/>
      <c r="G266" s="11"/>
      <c r="H266" s="11"/>
      <c r="I266" s="18"/>
      <c r="J266" s="11"/>
      <c r="K266" s="11"/>
      <c r="L266" s="12">
        <v>5394.24</v>
      </c>
      <c r="M266" s="25">
        <v>5235.62</v>
      </c>
      <c r="N266" s="26">
        <f>L266-M266</f>
        <v>158.61999999999989</v>
      </c>
      <c r="O266" s="26">
        <v>0</v>
      </c>
      <c r="P266" s="26">
        <f t="shared" si="12"/>
        <v>0</v>
      </c>
      <c r="Q266" s="26">
        <v>0</v>
      </c>
      <c r="R266" s="26">
        <f t="shared" si="13"/>
        <v>0</v>
      </c>
      <c r="S266" s="26">
        <v>0</v>
      </c>
      <c r="T266" s="27">
        <f t="shared" si="14"/>
        <v>0</v>
      </c>
    </row>
    <row r="267" spans="1:20" s="1" customFormat="1">
      <c r="A267" s="3">
        <v>19418</v>
      </c>
      <c r="B267" s="3" t="s">
        <v>35</v>
      </c>
      <c r="C267" s="10">
        <v>215478.89</v>
      </c>
      <c r="D267" s="10"/>
      <c r="E267" s="11"/>
      <c r="F267" s="18"/>
      <c r="G267" s="11"/>
      <c r="H267" s="11"/>
      <c r="I267" s="18"/>
      <c r="J267" s="11">
        <v>-245.12</v>
      </c>
      <c r="K267" s="11"/>
      <c r="L267" s="12">
        <v>215233.77000000002</v>
      </c>
      <c r="M267" s="25">
        <v>206793.62</v>
      </c>
      <c r="N267" s="26">
        <f>L267-M267</f>
        <v>8440.1500000000233</v>
      </c>
      <c r="O267" s="26">
        <v>245.12</v>
      </c>
      <c r="P267" s="26">
        <f t="shared" ref="P267:P285" si="15">O267+J267</f>
        <v>0</v>
      </c>
      <c r="Q267" s="26">
        <v>0</v>
      </c>
      <c r="R267" s="26">
        <f t="shared" si="13"/>
        <v>0</v>
      </c>
      <c r="S267" s="26">
        <v>0</v>
      </c>
      <c r="T267" s="27">
        <f t="shared" si="14"/>
        <v>0</v>
      </c>
    </row>
    <row r="268" spans="1:20" s="1" customFormat="1">
      <c r="A268" s="3">
        <v>19525</v>
      </c>
      <c r="B268" s="3" t="s">
        <v>211</v>
      </c>
      <c r="C268" s="10">
        <v>9375</v>
      </c>
      <c r="D268" s="10"/>
      <c r="E268" s="11"/>
      <c r="F268" s="18"/>
      <c r="G268" s="11"/>
      <c r="H268" s="11"/>
      <c r="I268" s="18"/>
      <c r="J268" s="11"/>
      <c r="K268" s="11"/>
      <c r="L268" s="12">
        <v>9375</v>
      </c>
      <c r="M268" s="25">
        <v>9375</v>
      </c>
      <c r="N268" s="26">
        <f>L268-M268</f>
        <v>0</v>
      </c>
      <c r="O268" s="26">
        <v>0</v>
      </c>
      <c r="P268" s="26">
        <f t="shared" si="15"/>
        <v>0</v>
      </c>
      <c r="Q268" s="26">
        <v>562.5</v>
      </c>
      <c r="R268" s="26">
        <f t="shared" si="13"/>
        <v>562.5</v>
      </c>
      <c r="S268" s="26">
        <v>0</v>
      </c>
      <c r="T268" s="27">
        <f t="shared" si="14"/>
        <v>0</v>
      </c>
    </row>
    <row r="269" spans="1:20" s="1" customFormat="1">
      <c r="A269" s="3">
        <v>21149</v>
      </c>
      <c r="B269" s="3" t="s">
        <v>226</v>
      </c>
      <c r="C269" s="10">
        <v>6598.7</v>
      </c>
      <c r="D269" s="10"/>
      <c r="E269" s="11"/>
      <c r="F269" s="18"/>
      <c r="G269" s="11"/>
      <c r="H269" s="11"/>
      <c r="I269" s="18"/>
      <c r="J269" s="11">
        <v>-338.1</v>
      </c>
      <c r="K269" s="11"/>
      <c r="L269" s="12">
        <v>6260.5999999999995</v>
      </c>
      <c r="M269" s="25">
        <v>6598.7</v>
      </c>
      <c r="N269" s="26">
        <f>L269-M269</f>
        <v>-338.10000000000036</v>
      </c>
      <c r="O269" s="26">
        <v>338.1</v>
      </c>
      <c r="P269" s="26">
        <f t="shared" si="15"/>
        <v>0</v>
      </c>
      <c r="Q269" s="26">
        <v>0</v>
      </c>
      <c r="R269" s="26">
        <f t="shared" si="13"/>
        <v>0</v>
      </c>
      <c r="S269" s="26">
        <v>0</v>
      </c>
      <c r="T269" s="27">
        <f t="shared" si="14"/>
        <v>0</v>
      </c>
    </row>
    <row r="270" spans="1:20" s="1" customFormat="1">
      <c r="A270" s="3">
        <v>21155</v>
      </c>
      <c r="B270" s="3" t="s">
        <v>5</v>
      </c>
      <c r="C270" s="10">
        <v>96896.5</v>
      </c>
      <c r="D270" s="10">
        <v>2943129.15</v>
      </c>
      <c r="E270" s="11">
        <v>9421</v>
      </c>
      <c r="F270" s="18"/>
      <c r="G270" s="11">
        <v>33600</v>
      </c>
      <c r="H270" s="11"/>
      <c r="I270" s="18"/>
      <c r="J270" s="11">
        <v>-4596.28</v>
      </c>
      <c r="K270" s="11"/>
      <c r="L270" s="12">
        <v>3078450.37</v>
      </c>
      <c r="M270" s="25">
        <v>3083047.65</v>
      </c>
      <c r="N270" s="26">
        <f>L270-M270</f>
        <v>-4597.2799999997951</v>
      </c>
      <c r="O270" s="26">
        <v>4596.28</v>
      </c>
      <c r="P270" s="26">
        <f t="shared" si="15"/>
        <v>0</v>
      </c>
      <c r="Q270" s="26">
        <v>0</v>
      </c>
      <c r="R270" s="26">
        <f t="shared" si="13"/>
        <v>0</v>
      </c>
      <c r="S270" s="26">
        <v>0</v>
      </c>
      <c r="T270" s="27">
        <f t="shared" si="14"/>
        <v>0</v>
      </c>
    </row>
    <row r="271" spans="1:20" s="1" customFormat="1">
      <c r="A271" s="3">
        <v>21231</v>
      </c>
      <c r="B271" s="3" t="s">
        <v>271</v>
      </c>
      <c r="C271" s="10">
        <v>900.88</v>
      </c>
      <c r="D271" s="10"/>
      <c r="E271" s="11"/>
      <c r="F271" s="18"/>
      <c r="G271" s="11"/>
      <c r="H271" s="11"/>
      <c r="I271" s="18"/>
      <c r="J271" s="11"/>
      <c r="K271" s="11"/>
      <c r="L271" s="12">
        <v>900.88</v>
      </c>
      <c r="M271" s="25">
        <v>903.72</v>
      </c>
      <c r="N271" s="26">
        <f>L271-M271</f>
        <v>-2.8400000000000318</v>
      </c>
      <c r="O271" s="26">
        <v>0</v>
      </c>
      <c r="P271" s="26">
        <f t="shared" si="15"/>
        <v>0</v>
      </c>
      <c r="Q271" s="26">
        <v>0</v>
      </c>
      <c r="R271" s="26">
        <f t="shared" si="13"/>
        <v>0</v>
      </c>
      <c r="S271" s="26">
        <v>0</v>
      </c>
      <c r="T271" s="27">
        <f t="shared" si="14"/>
        <v>0</v>
      </c>
    </row>
    <row r="272" spans="1:20" s="1" customFormat="1">
      <c r="A272" s="3">
        <v>21822</v>
      </c>
      <c r="B272" s="3" t="s">
        <v>144</v>
      </c>
      <c r="C272" s="10">
        <v>28295.07</v>
      </c>
      <c r="D272" s="10"/>
      <c r="E272" s="11"/>
      <c r="F272" s="18"/>
      <c r="G272" s="11"/>
      <c r="H272" s="11"/>
      <c r="I272" s="18"/>
      <c r="J272" s="11"/>
      <c r="K272" s="11"/>
      <c r="L272" s="12">
        <v>28295.07</v>
      </c>
      <c r="M272" s="25">
        <v>24931.8</v>
      </c>
      <c r="N272" s="26">
        <f>L272-M272</f>
        <v>3363.2700000000004</v>
      </c>
      <c r="O272" s="26">
        <v>0</v>
      </c>
      <c r="P272" s="26">
        <f t="shared" si="15"/>
        <v>0</v>
      </c>
      <c r="Q272" s="26">
        <v>0</v>
      </c>
      <c r="R272" s="26">
        <f t="shared" si="13"/>
        <v>0</v>
      </c>
      <c r="S272" s="26">
        <v>0</v>
      </c>
      <c r="T272" s="27">
        <f t="shared" si="14"/>
        <v>0</v>
      </c>
    </row>
    <row r="273" spans="1:20" s="1" customFormat="1">
      <c r="A273" s="3">
        <v>21827</v>
      </c>
      <c r="B273" s="3" t="s">
        <v>127</v>
      </c>
      <c r="C273" s="10">
        <v>32868.879999999997</v>
      </c>
      <c r="D273" s="10"/>
      <c r="E273" s="11"/>
      <c r="F273" s="18"/>
      <c r="G273" s="11"/>
      <c r="H273" s="11"/>
      <c r="I273" s="18"/>
      <c r="J273" s="11">
        <v>-1969.01</v>
      </c>
      <c r="K273" s="11"/>
      <c r="L273" s="12">
        <v>30899.87</v>
      </c>
      <c r="M273" s="25">
        <v>32868.879999999997</v>
      </c>
      <c r="N273" s="26">
        <f>L273-M273</f>
        <v>-1969.0099999999984</v>
      </c>
      <c r="O273" s="26">
        <v>1969.01</v>
      </c>
      <c r="P273" s="26">
        <f t="shared" si="15"/>
        <v>0</v>
      </c>
      <c r="Q273" s="26">
        <v>0</v>
      </c>
      <c r="R273" s="26">
        <f t="shared" si="13"/>
        <v>0</v>
      </c>
      <c r="S273" s="26">
        <v>0</v>
      </c>
      <c r="T273" s="27">
        <f t="shared" si="14"/>
        <v>0</v>
      </c>
    </row>
    <row r="274" spans="1:20" s="1" customFormat="1">
      <c r="A274" s="3">
        <v>21894</v>
      </c>
      <c r="B274" s="3" t="s">
        <v>118</v>
      </c>
      <c r="C274" s="10">
        <v>38399.4</v>
      </c>
      <c r="D274" s="10"/>
      <c r="E274" s="11"/>
      <c r="F274" s="18"/>
      <c r="G274" s="11"/>
      <c r="H274" s="11"/>
      <c r="I274" s="18"/>
      <c r="J274" s="11"/>
      <c r="K274" s="11"/>
      <c r="L274" s="12">
        <v>38399.4</v>
      </c>
      <c r="M274" s="25">
        <v>38399.4</v>
      </c>
      <c r="N274" s="26">
        <f>L274-M274</f>
        <v>0</v>
      </c>
      <c r="O274" s="26">
        <v>0</v>
      </c>
      <c r="P274" s="26">
        <f t="shared" si="15"/>
        <v>0</v>
      </c>
      <c r="Q274" s="26">
        <v>1595.9</v>
      </c>
      <c r="R274" s="26">
        <f t="shared" si="13"/>
        <v>1595.9</v>
      </c>
      <c r="S274" s="26">
        <v>0</v>
      </c>
      <c r="T274" s="27">
        <f t="shared" si="14"/>
        <v>0</v>
      </c>
    </row>
    <row r="275" spans="1:20" s="1" customFormat="1">
      <c r="A275" s="3">
        <v>22024</v>
      </c>
      <c r="B275" s="3" t="s">
        <v>218</v>
      </c>
      <c r="C275" s="10">
        <v>7935.33</v>
      </c>
      <c r="D275" s="10"/>
      <c r="E275" s="11"/>
      <c r="F275" s="18"/>
      <c r="G275" s="11"/>
      <c r="H275" s="11"/>
      <c r="I275" s="18"/>
      <c r="J275" s="11"/>
      <c r="K275" s="11"/>
      <c r="L275" s="12">
        <v>7935.33</v>
      </c>
      <c r="M275" s="25">
        <v>8113.92</v>
      </c>
      <c r="N275" s="26">
        <f>L275-M275</f>
        <v>-178.59000000000015</v>
      </c>
      <c r="O275" s="26">
        <v>0</v>
      </c>
      <c r="P275" s="26">
        <f t="shared" si="15"/>
        <v>0</v>
      </c>
      <c r="Q275" s="26">
        <v>0</v>
      </c>
      <c r="R275" s="26">
        <f t="shared" si="13"/>
        <v>0</v>
      </c>
      <c r="S275" s="26">
        <v>0</v>
      </c>
      <c r="T275" s="27">
        <f t="shared" si="14"/>
        <v>0</v>
      </c>
    </row>
    <row r="276" spans="1:20" s="1" customFormat="1">
      <c r="A276" s="3">
        <v>22168</v>
      </c>
      <c r="B276" s="3" t="s">
        <v>86</v>
      </c>
      <c r="C276" s="10">
        <v>76536.240000000005</v>
      </c>
      <c r="D276" s="10"/>
      <c r="E276" s="11"/>
      <c r="F276" s="18"/>
      <c r="G276" s="11"/>
      <c r="H276" s="11"/>
      <c r="I276" s="18"/>
      <c r="J276" s="11"/>
      <c r="K276" s="11"/>
      <c r="L276" s="12">
        <v>76536.240000000005</v>
      </c>
      <c r="M276" s="25">
        <v>75477.36</v>
      </c>
      <c r="N276" s="26">
        <f>L276-M276</f>
        <v>1058.8800000000047</v>
      </c>
      <c r="O276" s="26">
        <v>0</v>
      </c>
      <c r="P276" s="26">
        <f t="shared" si="15"/>
        <v>0</v>
      </c>
      <c r="Q276" s="26">
        <v>2295</v>
      </c>
      <c r="R276" s="26">
        <f t="shared" si="13"/>
        <v>2295</v>
      </c>
      <c r="S276" s="26">
        <v>0</v>
      </c>
      <c r="T276" s="27">
        <f t="shared" si="14"/>
        <v>0</v>
      </c>
    </row>
    <row r="277" spans="1:20" s="1" customFormat="1">
      <c r="A277" s="3">
        <v>22464</v>
      </c>
      <c r="B277" s="3" t="s">
        <v>222</v>
      </c>
      <c r="C277" s="10">
        <v>64.599999999999994</v>
      </c>
      <c r="D277" s="10">
        <v>6610.9</v>
      </c>
      <c r="E277" s="11"/>
      <c r="F277" s="18"/>
      <c r="G277" s="11">
        <v>1005.5</v>
      </c>
      <c r="H277" s="11"/>
      <c r="I277" s="18"/>
      <c r="J277" s="11"/>
      <c r="K277" s="11"/>
      <c r="L277" s="12">
        <v>7681</v>
      </c>
      <c r="M277" s="25">
        <v>7681</v>
      </c>
      <c r="N277" s="26">
        <f>L277-M277</f>
        <v>0</v>
      </c>
      <c r="O277" s="26">
        <v>0</v>
      </c>
      <c r="P277" s="26">
        <f t="shared" si="15"/>
        <v>0</v>
      </c>
      <c r="Q277" s="26">
        <v>0</v>
      </c>
      <c r="R277" s="26">
        <f t="shared" si="13"/>
        <v>0</v>
      </c>
      <c r="S277" s="26">
        <v>0</v>
      </c>
      <c r="T277" s="27">
        <f t="shared" si="14"/>
        <v>0</v>
      </c>
    </row>
    <row r="278" spans="1:20" s="1" customFormat="1">
      <c r="A278" s="3">
        <v>22465</v>
      </c>
      <c r="B278" s="3" t="s">
        <v>169</v>
      </c>
      <c r="C278" s="10">
        <v>17108</v>
      </c>
      <c r="D278" s="10"/>
      <c r="E278" s="11"/>
      <c r="F278" s="18"/>
      <c r="G278" s="11"/>
      <c r="H278" s="11"/>
      <c r="I278" s="18"/>
      <c r="J278" s="11"/>
      <c r="K278" s="11"/>
      <c r="L278" s="12">
        <v>17108</v>
      </c>
      <c r="M278" s="25">
        <v>17108</v>
      </c>
      <c r="N278" s="26">
        <f>L278-M278</f>
        <v>0</v>
      </c>
      <c r="O278" s="26">
        <v>0</v>
      </c>
      <c r="P278" s="26">
        <f t="shared" si="15"/>
        <v>0</v>
      </c>
      <c r="Q278" s="26">
        <v>0</v>
      </c>
      <c r="R278" s="26">
        <f t="shared" si="13"/>
        <v>0</v>
      </c>
      <c r="S278" s="26">
        <v>0</v>
      </c>
      <c r="T278" s="27">
        <f t="shared" si="14"/>
        <v>0</v>
      </c>
    </row>
    <row r="279" spans="1:20" s="1" customFormat="1">
      <c r="A279" s="3">
        <v>22493</v>
      </c>
      <c r="B279" s="3" t="s">
        <v>194</v>
      </c>
      <c r="C279" s="10">
        <v>210</v>
      </c>
      <c r="D279" s="10">
        <v>11810</v>
      </c>
      <c r="E279" s="11"/>
      <c r="F279" s="18"/>
      <c r="G279" s="11"/>
      <c r="H279" s="11"/>
      <c r="I279" s="18"/>
      <c r="J279" s="11"/>
      <c r="K279" s="11"/>
      <c r="L279" s="12">
        <v>12020</v>
      </c>
      <c r="M279" s="25">
        <v>12020</v>
      </c>
      <c r="N279" s="26">
        <f>L279-M279</f>
        <v>0</v>
      </c>
      <c r="O279" s="26">
        <v>0</v>
      </c>
      <c r="P279" s="26">
        <f t="shared" si="15"/>
        <v>0</v>
      </c>
      <c r="Q279" s="26">
        <v>0</v>
      </c>
      <c r="R279" s="26">
        <f t="shared" si="13"/>
        <v>0</v>
      </c>
      <c r="S279" s="26">
        <v>0</v>
      </c>
      <c r="T279" s="27">
        <f t="shared" si="14"/>
        <v>0</v>
      </c>
    </row>
    <row r="280" spans="1:20" s="1" customFormat="1">
      <c r="A280" s="3">
        <v>22515</v>
      </c>
      <c r="B280" s="3" t="s">
        <v>83</v>
      </c>
      <c r="C280" s="10"/>
      <c r="D280" s="10">
        <v>79193</v>
      </c>
      <c r="E280" s="11"/>
      <c r="F280" s="18"/>
      <c r="G280" s="11"/>
      <c r="H280" s="11"/>
      <c r="I280" s="18"/>
      <c r="J280" s="11">
        <v>-500.4</v>
      </c>
      <c r="K280" s="11"/>
      <c r="L280" s="12">
        <v>78692.600000000006</v>
      </c>
      <c r="M280" s="25">
        <v>79193</v>
      </c>
      <c r="N280" s="26">
        <f>L280-M280</f>
        <v>-500.39999999999418</v>
      </c>
      <c r="O280" s="26">
        <v>500.4</v>
      </c>
      <c r="P280" s="26">
        <f t="shared" si="15"/>
        <v>0</v>
      </c>
      <c r="Q280" s="26">
        <v>0</v>
      </c>
      <c r="R280" s="26">
        <f t="shared" si="13"/>
        <v>0</v>
      </c>
      <c r="S280" s="26">
        <v>0</v>
      </c>
      <c r="T280" s="27">
        <f t="shared" si="14"/>
        <v>0</v>
      </c>
    </row>
    <row r="281" spans="1:20" s="1" customFormat="1">
      <c r="A281" s="3">
        <v>22557</v>
      </c>
      <c r="B281" s="3" t="s">
        <v>88</v>
      </c>
      <c r="C281" s="10">
        <v>53620.5</v>
      </c>
      <c r="D281" s="10"/>
      <c r="E281" s="11"/>
      <c r="F281" s="18"/>
      <c r="G281" s="11"/>
      <c r="H281" s="11"/>
      <c r="I281" s="18"/>
      <c r="J281" s="11"/>
      <c r="K281" s="11"/>
      <c r="L281" s="12">
        <v>53620.5</v>
      </c>
      <c r="M281" s="25">
        <v>71494</v>
      </c>
      <c r="N281" s="26">
        <f>L281-M281</f>
        <v>-17873.5</v>
      </c>
      <c r="O281" s="26">
        <v>0</v>
      </c>
      <c r="P281" s="26">
        <f t="shared" si="15"/>
        <v>0</v>
      </c>
      <c r="Q281" s="26">
        <v>0</v>
      </c>
      <c r="R281" s="26">
        <f t="shared" si="13"/>
        <v>0</v>
      </c>
      <c r="S281" s="26">
        <v>0</v>
      </c>
      <c r="T281" s="27">
        <f t="shared" si="14"/>
        <v>0</v>
      </c>
    </row>
    <row r="282" spans="1:20" s="1" customFormat="1">
      <c r="A282" s="3">
        <v>22581</v>
      </c>
      <c r="B282" s="3" t="s">
        <v>31</v>
      </c>
      <c r="C282" s="10">
        <v>3600</v>
      </c>
      <c r="D282" s="10">
        <v>228184</v>
      </c>
      <c r="E282" s="11"/>
      <c r="F282" s="18"/>
      <c r="G282" s="11"/>
      <c r="H282" s="11"/>
      <c r="I282" s="18"/>
      <c r="J282" s="11">
        <v>-1353.75</v>
      </c>
      <c r="K282" s="11"/>
      <c r="L282" s="12">
        <v>230430.25</v>
      </c>
      <c r="M282" s="25">
        <v>231784</v>
      </c>
      <c r="N282" s="26">
        <f>L282-M282</f>
        <v>-1353.75</v>
      </c>
      <c r="O282" s="26">
        <v>1353.75</v>
      </c>
      <c r="P282" s="26">
        <f t="shared" si="15"/>
        <v>0</v>
      </c>
      <c r="Q282" s="26">
        <v>0</v>
      </c>
      <c r="R282" s="26">
        <f t="shared" si="13"/>
        <v>0</v>
      </c>
      <c r="S282" s="26">
        <v>0</v>
      </c>
      <c r="T282" s="27">
        <f t="shared" si="14"/>
        <v>0</v>
      </c>
    </row>
    <row r="283" spans="1:20" s="1" customFormat="1">
      <c r="A283" s="3">
        <v>22672</v>
      </c>
      <c r="B283" s="3" t="s">
        <v>255</v>
      </c>
      <c r="C283" s="10">
        <v>2932.5</v>
      </c>
      <c r="D283" s="10"/>
      <c r="E283" s="11"/>
      <c r="F283" s="18"/>
      <c r="G283" s="11"/>
      <c r="H283" s="11"/>
      <c r="I283" s="18"/>
      <c r="J283" s="11"/>
      <c r="K283" s="11"/>
      <c r="L283" s="12">
        <v>2932.5</v>
      </c>
      <c r="M283" s="25">
        <v>2932.5</v>
      </c>
      <c r="N283" s="26">
        <f>L283-M283</f>
        <v>0</v>
      </c>
      <c r="O283" s="26">
        <v>0</v>
      </c>
      <c r="P283" s="26">
        <f t="shared" si="15"/>
        <v>0</v>
      </c>
      <c r="Q283" s="26">
        <v>0</v>
      </c>
      <c r="R283" s="26">
        <f t="shared" si="13"/>
        <v>0</v>
      </c>
      <c r="S283" s="26">
        <v>0</v>
      </c>
      <c r="T283" s="27">
        <f t="shared" si="14"/>
        <v>0</v>
      </c>
    </row>
    <row r="284" spans="1:20" s="1" customFormat="1" ht="15.75" thickBot="1">
      <c r="A284" s="3">
        <v>22762</v>
      </c>
      <c r="B284" s="3" t="s">
        <v>103</v>
      </c>
      <c r="C284" s="14">
        <v>50169.599999999999</v>
      </c>
      <c r="D284" s="14"/>
      <c r="E284" s="15"/>
      <c r="F284" s="18"/>
      <c r="G284" s="15"/>
      <c r="H284" s="15"/>
      <c r="I284" s="18"/>
      <c r="J284" s="15"/>
      <c r="K284" s="15"/>
      <c r="L284" s="16">
        <v>50169.599999999999</v>
      </c>
      <c r="M284" s="28">
        <v>50169.599999999999</v>
      </c>
      <c r="N284" s="29">
        <f>L284-M284</f>
        <v>0</v>
      </c>
      <c r="O284" s="29">
        <v>0</v>
      </c>
      <c r="P284" s="29">
        <f t="shared" si="15"/>
        <v>0</v>
      </c>
      <c r="Q284" s="29">
        <v>0</v>
      </c>
      <c r="R284" s="29">
        <f t="shared" si="13"/>
        <v>0</v>
      </c>
      <c r="S284" s="29">
        <v>0</v>
      </c>
      <c r="T284" s="30">
        <f t="shared" si="14"/>
        <v>0</v>
      </c>
    </row>
    <row r="285" spans="1:20" s="1" customFormat="1">
      <c r="A285" s="3" t="s">
        <v>279</v>
      </c>
      <c r="B285" s="3" t="e">
        <v>#N/A</v>
      </c>
      <c r="C285" s="17">
        <v>32422984.639999989</v>
      </c>
      <c r="D285" s="17">
        <v>3635511.32</v>
      </c>
      <c r="E285" s="17">
        <v>239876</v>
      </c>
      <c r="F285" s="18">
        <v>61649.4</v>
      </c>
      <c r="G285" s="17">
        <v>272997.64</v>
      </c>
      <c r="H285" s="17">
        <v>46452.68</v>
      </c>
      <c r="I285" s="18">
        <v>-3640.84</v>
      </c>
      <c r="J285" s="17">
        <v>-713179.52000000025</v>
      </c>
      <c r="K285" s="17">
        <v>-117309.59000000004</v>
      </c>
      <c r="L285" s="17">
        <v>35845341.729999997</v>
      </c>
      <c r="M285" s="31">
        <v>35969828.619999997</v>
      </c>
      <c r="N285" s="31">
        <f>L285-M285</f>
        <v>-124486.8900000006</v>
      </c>
      <c r="O285" s="31">
        <v>711736.28000000014</v>
      </c>
      <c r="P285" s="31">
        <f t="shared" si="15"/>
        <v>-1443.2400000001071</v>
      </c>
      <c r="Q285" s="31">
        <v>261101.83</v>
      </c>
      <c r="R285" s="31">
        <f t="shared" si="13"/>
        <v>143792.23999999993</v>
      </c>
      <c r="S285" s="31">
        <v>116280.44000000005</v>
      </c>
      <c r="T285" s="32">
        <f t="shared" si="14"/>
        <v>-54631.040000000045</v>
      </c>
    </row>
  </sheetData>
  <autoFilter ref="A2:T285"/>
  <mergeCells count="2">
    <mergeCell ref="M1:T1"/>
    <mergeCell ref="C1:L1"/>
  </mergeCells>
  <conditionalFormatting sqref="N2:N1048576 P2:P1048576 R2:R1048576 T2">
    <cfRule type="cellIs" dxfId="0" priority="6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divergencias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2026-06-19T17:41:31Z</dcterms:created>
  <dcterms:modified xsi:type="dcterms:W3CDTF">2026-06-22T14:20:07Z</dcterms:modified>
</cp:coreProperties>
</file>