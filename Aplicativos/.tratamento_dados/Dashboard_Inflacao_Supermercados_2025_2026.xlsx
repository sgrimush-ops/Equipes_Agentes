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.tratamento_dados\"/>
    </mc:Choice>
  </mc:AlternateContent>
  <xr:revisionPtr revIDLastSave="0" documentId="13_ncr:1_{C079E82F-8722-4EB4-B5F6-47B2AE6FD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DOS_MENSAL" sheetId="2" r:id="rId2"/>
    <sheet name="ANALISE_CATEGORIAS" sheetId="3" r:id="rId3"/>
    <sheet name="COMPARATIVO_IND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2" l="1"/>
  <c r="G18" i="2"/>
  <c r="I17" i="2"/>
  <c r="H17" i="2"/>
  <c r="G17" i="2"/>
  <c r="F17" i="2"/>
  <c r="E17" i="2"/>
  <c r="D17" i="2"/>
  <c r="C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<sst xmlns="http://schemas.openxmlformats.org/spreadsheetml/2006/main" count="232" uniqueCount="215">
  <si>
    <t>DASHBOARD EXECUTIVO: INFLAÇÃO NO RAMO DE SUPERMERCADOS</t>
  </si>
  <si>
    <t>Comparativo Multidimensional 2025 vs 2026 | IPCA Geral vs Alimentação no Domicílio vs Abrasmercado | Análise Causal Mês a Mês</t>
  </si>
  <si>
    <t>Setor: Varejo Supermercadista | Base Temporal: Jan-Set Realizado + Out-Dez Projetado | Governança: IBGE &amp; ABRAS</t>
  </si>
  <si>
    <t>IPCA GERAL (2025)</t>
  </si>
  <si>
    <t>ALIMENTAÇÃO DOMICÍLIO (2025)</t>
  </si>
  <si>
    <t>ABRASMERCADO (12 MESES)</t>
  </si>
  <si>
    <t>MÊS DE MAIOR PRESSÃO (2026)</t>
  </si>
  <si>
    <t>MÊS DE MAIOR ALÍVIO (2026)</t>
  </si>
  <si>
    <t>+4,26%</t>
  </si>
  <si>
    <t>+2,85%</t>
  </si>
  <si>
    <t>+2,75%</t>
  </si>
  <si>
    <t>+4,01%</t>
  </si>
  <si>
    <t>Abril (+1,34%)</t>
  </si>
  <si>
    <t>Julho (-0,67%)</t>
  </si>
  <si>
    <t>FECHAMENTO | Inflação oficial Brasil</t>
  </si>
  <si>
    <t>YTD OFICIAL | Acumulado Jan a Setembro</t>
  </si>
  <si>
    <t>LTM ROLLING | 35 produtos + higiene/limpeza</t>
  </si>
  <si>
    <t>PICO 1º SEM | Entressafra leite, quebras FLV e frete</t>
  </si>
  <si>
    <t>VALE SAFRA | Supersafra grãos e tombo tubérculos (-10%)</t>
  </si>
  <si>
    <t>GUIA DA DIRETORIA: POR QUE OS ÍNDICES PARECEM NÃO CONVERGIR?</t>
  </si>
  <si>
    <t>PANORAMA TRIMESTRAL CONSOLIDADO</t>
  </si>
  <si>
    <t>1. Cestas de Produtos Diferentes</t>
  </si>
  <si>
    <t>Período</t>
  </si>
  <si>
    <t>Alim. 2025</t>
  </si>
  <si>
    <t>Alim. 2026</t>
  </si>
  <si>
    <t>Dif (p.p.)</t>
  </si>
  <si>
    <t>Comportamento Predominante</t>
  </si>
  <si>
    <t>Impacto</t>
  </si>
  <si>
    <t>O IPCA Geral (+4,26% em 2025) mede transporte, habitação, energia, saúde e escolas. Já a Alimentação no Domicílio (+2,85%) foca na comida para casa, sujeita à volatilidade de safras e clima. O Abrasmercado foca em 35 itens líderes de giro + higiene/limpeza.</t>
  </si>
  <si>
    <t>1º Tri (Jan-Mar)</t>
  </si>
  <si>
    <t>+1,20%</t>
  </si>
  <si>
    <t>+1,34%</t>
  </si>
  <si>
    <t>+0,14 p.p.</t>
  </si>
  <si>
    <t>Páscoa e transição de colheita</t>
  </si>
  <si>
    <t>Pressão Moderada</t>
  </si>
  <si>
    <t>2. Janelas Temporais Distintas (YTD vs 12 Meses Móveis)</t>
  </si>
  <si>
    <t>2º Tri (Abr-Jun)</t>
  </si>
  <si>
    <t>+1,15%</t>
  </si>
  <si>
    <t>+2,43%</t>
  </si>
  <si>
    <t>+1,28 p.p.</t>
  </si>
  <si>
    <t>Pico do leite e seca Centro-Sul</t>
  </si>
  <si>
    <t>Pico Crítico de Custo</t>
  </si>
  <si>
    <t>O valor de +2,75% é o acumulado 'No Ano' (YTD: Jan a Set/2026). Já os +4,01% do Abrasmercado é a taxa móvel de '12 Meses Fechados' (Out/25 a Set/26), que ainda carrega a pressão dos últimos meses de 2025.</t>
  </si>
  <si>
    <t>3º Tri (Jul-Set)</t>
  </si>
  <si>
    <t>-0,98%</t>
  </si>
  <si>
    <t>-0,18%</t>
  </si>
  <si>
    <t>+0,80 p.p.</t>
  </si>
  <si>
    <t>Supersafra hortifrúti vs Queimadas</t>
  </si>
  <si>
    <t>Alívio em 25 / Inversão em 26</t>
  </si>
  <si>
    <t>3. Matemática Geométrica (Composta) vs Soma Simples</t>
  </si>
  <si>
    <t>4º Tri (Proj)</t>
  </si>
  <si>
    <t>-0,21%</t>
  </si>
  <si>
    <t>+1,60%</t>
  </si>
  <si>
    <t>+1,81 p.p.</t>
  </si>
  <si>
    <t>Festas de Fim de Ano e 13º Salário</t>
  </si>
  <si>
    <t>Pressão Sazonal Forte</t>
  </si>
  <si>
    <t>Inflação é calculada por juros compostos: Produto(1 + i) - 1. Não se soma arithmeticamente. A forte sequência deflacionária do 2º semestre de 2025 derrubou bruscamente o acumulado anual mesmo com o 1º semestre em alta.</t>
  </si>
  <si>
    <t>Acumulado Ano</t>
  </si>
  <si>
    <t>+1,16%</t>
  </si>
  <si>
    <t>+5,29%</t>
  </si>
  <si>
    <t>+4,13 p.p.</t>
  </si>
  <si>
    <t>2025 Deflação final | 2026 Aceleração</t>
  </si>
  <si>
    <t>Divergência Histórica</t>
  </si>
  <si>
    <t>4. Recomendações Estratégicas para o Supermercado</t>
  </si>
  <si>
    <t>• Repasse de Gôndola e Margem: Use Alimentação no Domicílio.
• Negociação com Fornecedor de Não-Alimentos / Higiene: Use Abrasmercado.
• Contratos de Locação, TI e Dissídios Sindicais: Use IPCA Geral.</t>
  </si>
  <si>
    <t>HISTÓRICO MENSAL COMPARATIVO DE INFLAÇÃO NO VAREJO ALIMENTAR (2025 vs 2026)</t>
  </si>
  <si>
    <t>Fonte Primária: IBGE (SNIPC - IPCA Geral &amp; Subgrupo Alimentação no Domicílio) e ABRAS (Índice Nacional Abrasmercado / GfK)</t>
  </si>
  <si>
    <t>Mês</t>
  </si>
  <si>
    <t>Nº</t>
  </si>
  <si>
    <t>IPCA Geral 2025</t>
  </si>
  <si>
    <t>IPCA Geral 2026</t>
  </si>
  <si>
    <t>Alim. Domicílio 2025</t>
  </si>
  <si>
    <t>Alim. Domicílio 2026</t>
  </si>
  <si>
    <t>Var YoY p.p.</t>
  </si>
  <si>
    <t>Abrasmercado 2025</t>
  </si>
  <si>
    <t>Abrasmercado 2026</t>
  </si>
  <si>
    <t>Status Mercado</t>
  </si>
  <si>
    <t>Fatores que Elevaram ou Baixaram os Preços (Drivers)</t>
  </si>
  <si>
    <t>Janeiro</t>
  </si>
  <si>
    <t>Defensivo</t>
  </si>
  <si>
    <t>Alta sazonal de início de ano: Reajustes de tabelas industriais e logística de entressafra de grãos.</t>
  </si>
  <si>
    <t>Fevereiro</t>
  </si>
  <si>
    <t>Estável</t>
  </si>
  <si>
    <t>Carnes estáveis e chuvas: Início da colheita de grãos alivia ração animal; hortaliças sofrem oscilação pontual por chuvas no Sudeste.</t>
  </si>
  <si>
    <t>Março</t>
  </si>
  <si>
    <t>Alerta</t>
  </si>
  <si>
    <t>Alta em 2026: Efeito do câmbio e insumos importados; Páscoa antecipa demanda por pescados, cacau/chocolates e laticínios.</t>
  </si>
  <si>
    <t>Abril</t>
  </si>
  <si>
    <t>Crítico</t>
  </si>
  <si>
    <t>Pico do 1º Semestre: Pressão no leite e derivados (início do período seco), quebras em hortifrúti e frete rodoviário.</t>
  </si>
  <si>
    <t>Maio</t>
  </si>
  <si>
    <t>Seca e Transição: Geadas brandas no Centro-Sul afetam folhosas; demanda externa firme por carnes sustenta preços de balcão.</t>
  </si>
  <si>
    <t>Junho</t>
  </si>
  <si>
    <t>Alívio</t>
  </si>
  <si>
    <t>Início da Deflação de Meio de Ano: Entrada forte da safrinha de milho e safra de inverno; queda no feijão e arroz.</t>
  </si>
  <si>
    <t>Julho</t>
  </si>
  <si>
    <t>Alívio Agrícola Consolidado: Supersafra de grãos no pico; tubérculos (batata e cebola) despencam mais de 10% nas Ceasas.</t>
  </si>
  <si>
    <t>Agosto</t>
  </si>
  <si>
    <t>Quedas Acentuadas no Hortifrúti: Batata (-19,9%), tomate e cebola em queda livre por excesso de oferta; óleos vegetais recuam.</t>
  </si>
  <si>
    <t>Setembro</t>
  </si>
  <si>
    <t>Inversão de Tendência (2026): Estiagem severa e queimadas afetam pastagens; retomada da alta nas carnes e energia elétrica com bandeira.</t>
  </si>
  <si>
    <t>Outubro</t>
  </si>
  <si>
    <t>Projeção</t>
  </si>
  <si>
    <t>2025: Safra manteve preços baixos. 2026: Transição para período chuvoso e reposição de estoques industriais de fim de ano.</t>
  </si>
  <si>
    <t>Novembro</t>
  </si>
  <si>
    <t>Aquecimento de Demanda: Black Friday e bônus/13º salário aumentam giro em bebidas e mercearia doce; proteínas sobem.</t>
  </si>
  <si>
    <t>Dezembro</t>
  </si>
  <si>
    <t>Pico de Consumo: Aceleração de festas (aves especiais, laticínios, bebidas e carnes nobres); quebra de deflação em 2025.</t>
  </si>
  <si>
    <t>Média Mensal</t>
  </si>
  <si>
    <t>-</t>
  </si>
  <si>
    <t>Média</t>
  </si>
  <si>
    <t>Média aritmética simples mensal das taxas</t>
  </si>
  <si>
    <t>Acumulado Fechado (12M)</t>
  </si>
  <si>
    <t>12M</t>
  </si>
  <si>
    <t>Consolidado</t>
  </si>
  <si>
    <t>Cálculo por composição geométrica (juros compostos oficiais do IBGE/ABRAS)</t>
  </si>
  <si>
    <t>Acumulado Realizado (Jan-Set)</t>
  </si>
  <si>
    <t>YTD</t>
  </si>
  <si>
    <t>YTD 9M</t>
  </si>
  <si>
    <t>Acumulado oficial até Setembro (9 meses fechados - base comparativa homologada)</t>
  </si>
  <si>
    <t>DECOMPOSIÇÃO DE INFLAÇÃO POR CATEGORIAS DE SUPERMERCADO</t>
  </si>
  <si>
    <t>Comportamento de Preços, Elasticidade, Drivers Climáticos/Câmbio e Estratégia de Repasse Comercial</t>
  </si>
  <si>
    <t>Categoria de Loja</t>
  </si>
  <si>
    <t>Share de Venda (%)</t>
  </si>
  <si>
    <t>Tendência 2025</t>
  </si>
  <si>
    <t>Tendência 2026</t>
  </si>
  <si>
    <t>Elasticidade da Demanda</t>
  </si>
  <si>
    <t>Principais Drivers de Custo</t>
  </si>
  <si>
    <t>Risco de Margem</t>
  </si>
  <si>
    <t>Estratégia Recomendada para Compras</t>
  </si>
  <si>
    <t>Açougue &amp; Proteínas</t>
  </si>
  <si>
    <t>22% a 28%</t>
  </si>
  <si>
    <t>Queda no boi por ciclo de abate elevado</t>
  </si>
  <si>
    <t>Alta acentuada (+6% a +9%) no 3º/4º tri por seca e exportações recordes</t>
  </si>
  <si>
    <t>Média a Alta</t>
  </si>
  <si>
    <t>Preço da arroba do boi gordo, estiagem em pastagens no Centro-Oeste, demanda chinesa</t>
  </si>
  <si>
    <t>Alto</t>
  </si>
  <si>
    <t>Travar contratos de compra futuros de frango/suíno para ofertar substitutos na gôndola.</t>
  </si>
  <si>
    <t>Hortifrúti (FLV)</t>
  </si>
  <si>
    <t>9% a 12%</t>
  </si>
  <si>
    <t>Deflação recorde no 2º semestre (batata -20%, cebola -15%)</t>
  </si>
  <si>
    <t>Alta volatilidade: pico em abril/maio, alívio em jul/ago, repique em setembro</t>
  </si>
  <si>
    <t>Alta</t>
  </si>
  <si>
    <t>Condições climáticas imediatas, excesso de chuvas x estiagem, frete de transporte das Ceasas</t>
  </si>
  <si>
    <t>Médio-Alto</t>
  </si>
  <si>
    <t>Compras diárias (D-0), giro rápido para evitar perdas/quebra e campanhas agressivas de 'Quarta Feira do FLV'.</t>
  </si>
  <si>
    <t>Laticínios &amp; Frios</t>
  </si>
  <si>
    <t>10% a 14%</t>
  </si>
  <si>
    <t>Pressão no 1º semestre seguida de estabilidade</t>
  </si>
  <si>
    <t>Pico histórico no 2º tri (leite UHT e queijos), custos industriais</t>
  </si>
  <si>
    <t>Início do período seco (entressafra), custo de suplementação animal, concorrência industrial</t>
  </si>
  <si>
    <t>Monitorar cotações do Cepea/Esalq semanalmente; evitar formação de estoques longos de UHT.</t>
  </si>
  <si>
    <t>Mercearia Básica (Grãos/Óleos)</t>
  </si>
  <si>
    <t>14% a 18%</t>
  </si>
  <si>
    <t>Alívio com supersafra de soja e milho; arroz em leve acomodação</t>
  </si>
  <si>
    <t>Arroz e feijão com alívio no meio do ano; café e açúcar em forte alta internacional</t>
  </si>
  <si>
    <t>Baixa (Inelástica)</t>
  </si>
  <si>
    <t>Safra nacional de grãos, quebras de café no Vietnã/Brasil e cotações em dólar na Bolsa de NY</t>
  </si>
  <si>
    <t>Médio</t>
  </si>
  <si>
    <t>Manter marcas próprias (primeiro preço) ativas para absorver a fuga de marcas líderes no café e azeite.</t>
  </si>
  <si>
    <t>Mercearia Doce &amp; Biscoitos</t>
  </si>
  <si>
    <t>8% a 11%</t>
  </si>
  <si>
    <t>Repasse moderado de inflação industrial</t>
  </si>
  <si>
    <t>Picos de cacau mundial encarecendo chocolates e biscoitos recheados (+15% a +25%)</t>
  </si>
  <si>
    <t>Crise de oferta do cacau na África Ocidental e açúcar industrial</t>
  </si>
  <si>
    <t>Antecipar compras sazonais de Páscoa e Natal; renegociar bonificações de trade marketing.</t>
  </si>
  <si>
    <t>Bebidas (Alcoólicas e Não)</t>
  </si>
  <si>
    <t>10% a 13%</t>
  </si>
  <si>
    <t>Estabilidade com leve reajuste de latas e embalagens</t>
  </si>
  <si>
    <t>Aceleração no 4º tri com calor extremo, Black Friday e festividades</t>
  </si>
  <si>
    <t>Alumínio, garrafas PET, tributação sobre bebidas frias e consumo de verão</t>
  </si>
  <si>
    <t>Baixo-Médio</t>
  </si>
  <si>
    <t>Focar em volume no 4º trimestre; negociar verbas cooperadas com grandes cervejarias e refrigerantes.</t>
  </si>
  <si>
    <t>Higiene Pessoal &amp; Cosméticos</t>
  </si>
  <si>
    <t>6% a 8%</t>
  </si>
  <si>
    <t>Alta contínua em torno de +3,5% a +4,2%</t>
  </si>
  <si>
    <t>Acompanha índice Abrasmercado (+4,0% 12M); reajuste de petroquímicos</t>
  </si>
  <si>
    <t>Baixa</t>
  </si>
  <si>
    <t>Resinas plásticas, essências importadas e câmbio</t>
  </si>
  <si>
    <t>Baixo</t>
  </si>
  <si>
    <t>Garantir abastecimento contínuo de itens de alto giro (sabonete, creme dental, papel higiênico).</t>
  </si>
  <si>
    <t>Limpeza Doméstica</t>
  </si>
  <si>
    <t>5% a 7%</t>
  </si>
  <si>
    <t>Estabilidade de matérias-primas tensoativas</t>
  </si>
  <si>
    <t>Reajustes moderados de +3,0% a +3,8%; forte busca por produtos concentrados</t>
  </si>
  <si>
    <t>Embalagens plásticas, frete e custos químicos da indústria</t>
  </si>
  <si>
    <t>Fortalecer linha de tamanhos econômicos (pack família) para elevar o tíquete médio da categoria.</t>
  </si>
  <si>
    <t>MATRIZ METODOLÓGICA DOS 3 ÍNDICES DE INFLAÇÃO NO VAREJO</t>
  </si>
  <si>
    <t>Diferenças de Escopo, Fontes, Periodicidade, Variação Apurada e Aplicação Prática no Varejo</t>
  </si>
  <si>
    <t>Índice / Indicador</t>
  </si>
  <si>
    <t>Instituição Produtora</t>
  </si>
  <si>
    <t>Escopo e Cesta de Produtos</t>
  </si>
  <si>
    <t>Variação 2025 (Fechada)</t>
  </si>
  <si>
    <t>Variação 2026 (Jan-Set)</t>
  </si>
  <si>
    <t>Variação 12M Móveis (2026)</t>
  </si>
  <si>
    <t>Aplicação Recomendada no Varejo Supermercadista</t>
  </si>
  <si>
    <t>IPCA Geral</t>
  </si>
  <si>
    <t>IBGE (Governo Federal)</t>
  </si>
  <si>
    <t>Cesta completa de 9 grupos: Alimentação, Habitação, Transportes, Saúde, Educação, Comunicação, Vestuário, Artigos do Lar e Despesas Pessoais. Universo: 1 a 40 salários mínimos.</t>
  </si>
  <si>
    <t>+3,95%</t>
  </si>
  <si>
    <t>+4,10%</t>
  </si>
  <si>
    <t>Reajustes institucionais e operacionais: Aluguéis de pontos de venda (quando vinculados a IPCA), contratos de manutenção, terceirizados e negociações coletivas de dissídio salarial.</t>
  </si>
  <si>
    <t>IPCA - Subgrupo Alimentação no Domicílio</t>
  </si>
  <si>
    <t>Apenas itens alimentícios comprados no comércio (supermercados, feiras, açougues, padarias) para consumo na residência. Exclui restaurantes e bares.</t>
  </si>
  <si>
    <t>+3,60%</t>
  </si>
  <si>
    <t>Métrica de ouro da gôndola alimentar: Balizador oficial para medir se o seu tíquete de alimentos está repassando a inflação real sem perder competitividade perante os concorrentes.</t>
  </si>
  <si>
    <t>Abrasmercado</t>
  </si>
  <si>
    <t>ABRAS / GfK</t>
  </si>
  <si>
    <t>Cesta padronizada de 35 produtos essenciais líderes de vendas diretamente nos caixas dos supermercados (arroz, feijão, carnes, leite + sabonetes, sabão em pó, desinfetante).</t>
  </si>
  <si>
    <t>+3,10%</t>
  </si>
  <si>
    <t>+3,20%</t>
  </si>
  <si>
    <t>Termômetro de tíquete médio e faturamento do setor: Utilizado para planejar metas de venda das lojas e renegociar contratos comerciais anuais com os grandes fabricantes multinacionais.</t>
  </si>
  <si>
    <t>ALIMENTAÇÃO DOMIC. NO ANO (2026)</t>
  </si>
  <si>
    <t>+ 1,37%</t>
  </si>
  <si>
    <t>+ 3,59%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</si>
</sst>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;\-0.00%;0.00%"/>
  </numFmts>
  <fonts count="26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9"/>
      <color rgb="FF64748B"/>
      <name val="Segoe UI"/>
    </font>
    <font>
      <b/>
      <sz val="10"/>
      <color rgb="FFFFFFFF"/>
      <name val="Segoe UI"/>
    </font>
    <font>
      <b/>
      <sz val="9"/>
      <color rgb="FF334155"/>
      <name val="Segoe UI"/>
    </font>
    <font>
      <sz val="9"/>
      <color rgb="FF475569"/>
      <name val="Segoe UI"/>
    </font>
    <font>
      <b/>
      <sz val="9"/>
      <color rgb="FF92400E"/>
      <name val="Segoe UI"/>
    </font>
    <font>
      <b/>
      <sz val="9"/>
      <color rgb="FF991B1B"/>
      <name val="Segoe UI"/>
    </font>
    <font>
      <b/>
      <sz val="9"/>
      <color rgb="FF065F46"/>
      <name val="Segoe UI"/>
    </font>
    <font>
      <b/>
      <sz val="10"/>
      <color rgb="FF1E293B"/>
      <name val="Segoe UI"/>
    </font>
    <font>
      <b/>
      <sz val="10"/>
      <color rgb="FF1E3A8A"/>
      <name val="Segoe UI"/>
    </font>
    <font>
      <b/>
      <sz val="16"/>
      <color rgb="FFFFFFFF"/>
      <name val="Segoe UI"/>
    </font>
    <font>
      <i/>
      <sz val="10"/>
      <color rgb="FFCBD5E1"/>
      <name val="Segoe UI"/>
    </font>
    <font>
      <b/>
      <sz val="8"/>
      <color rgb="FF64748B"/>
      <name val="Segoe UI"/>
    </font>
    <font>
      <b/>
      <sz val="9"/>
      <color rgb="FF64748B"/>
      <name val="Segoe UI"/>
    </font>
    <font>
      <b/>
      <sz val="18"/>
      <color rgb="FF1E293B"/>
      <name val="Segoe UI"/>
    </font>
    <font>
      <sz val="8"/>
      <color rgb="FF64748B"/>
      <name val="Segoe UI"/>
    </font>
    <font>
      <b/>
      <sz val="11"/>
      <color rgb="FFFFFFFF"/>
      <name val="Segoe UI"/>
    </font>
    <font>
      <b/>
      <sz val="9"/>
      <color rgb="FF1E3A8A"/>
      <name val="Segoe UI"/>
    </font>
    <font>
      <sz val="9"/>
      <color rgb="FF334155"/>
      <name val="Segoe UI"/>
    </font>
    <font>
      <b/>
      <sz val="8"/>
      <color rgb="FFFFFFFF"/>
      <name val="Segoe UI"/>
    </font>
    <font>
      <sz val="10"/>
      <color rgb="FF1E293B"/>
      <name val="Segoe UI"/>
    </font>
    <font>
      <sz val="11"/>
      <color rgb="FF9C5700"/>
      <name val="Calibri"/>
      <family val="2"/>
      <scheme val="minor"/>
    </font>
    <font>
      <b/>
      <sz val="10"/>
      <color theme="6" tint="-0.249977111117893"/>
      <name val="Segoe UI"/>
    </font>
    <font>
      <sz val="11"/>
      <color theme="6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1B365D"/>
        <bgColor rgb="FF1B365D"/>
      </patternFill>
    </fill>
    <fill>
      <patternFill patternType="solid">
        <fgColor rgb="FFE2E8F0"/>
        <bgColor rgb="FFE2E8F0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2A4D7C"/>
        <bgColor rgb="FF2A4D7C"/>
      </patternFill>
    </fill>
    <fill>
      <patternFill patternType="solid">
        <fgColor rgb="FF334155"/>
        <bgColor rgb="FF334155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EF3C7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E2E8F0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E2E8F0"/>
      </bottom>
      <diagonal/>
    </border>
  </borders>
  <cellStyleXfs count="2">
    <xf numFmtId="0" fontId="0" fillId="0" borderId="0"/>
    <xf numFmtId="0" fontId="22" fillId="14" borderId="0" applyNumberFormat="0" applyBorder="0" applyAlignment="0" applyProtection="0"/>
  </cellStyleXfs>
  <cellXfs count="63">
    <xf numFmtId="0" fontId="0" fillId="0" borderId="0" xfId="0"/>
    <xf numFmtId="0" fontId="20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9" borderId="1" xfId="0" applyNumberFormat="1" applyFont="1" applyFill="1" applyBorder="1" applyAlignment="1">
      <alignment horizontal="right" vertical="center"/>
    </xf>
    <xf numFmtId="164" fontId="9" fillId="9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10" fontId="10" fillId="10" borderId="1" xfId="0" applyNumberFormat="1" applyFont="1" applyFill="1" applyBorder="1" applyAlignment="1">
      <alignment horizontal="right" vertical="center"/>
    </xf>
    <xf numFmtId="164" fontId="10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left" vertical="center" indent="1"/>
    </xf>
    <xf numFmtId="0" fontId="0" fillId="11" borderId="9" xfId="0" applyFill="1" applyBorder="1"/>
    <xf numFmtId="0" fontId="0" fillId="11" borderId="5" xfId="0" applyFill="1" applyBorder="1"/>
    <xf numFmtId="0" fontId="11" fillId="2" borderId="0" xfId="0" applyFont="1" applyFill="1" applyAlignment="1">
      <alignment horizontal="left" vertical="center" indent="1"/>
    </xf>
    <xf numFmtId="0" fontId="0" fillId="0" borderId="0" xfId="0"/>
    <xf numFmtId="0" fontId="16" fillId="11" borderId="6" xfId="0" applyFont="1" applyFill="1" applyBorder="1" applyAlignment="1">
      <alignment horizontal="left" vertical="center" indent="1"/>
    </xf>
    <xf numFmtId="0" fontId="0" fillId="11" borderId="7" xfId="0" applyFill="1" applyBorder="1"/>
    <xf numFmtId="0" fontId="0" fillId="11" borderId="10" xfId="0" applyFill="1" applyBorder="1"/>
    <xf numFmtId="0" fontId="17" fillId="12" borderId="0" xfId="0" applyFont="1" applyFill="1" applyAlignment="1">
      <alignment horizontal="left" vertical="center" indent="1"/>
    </xf>
    <xf numFmtId="0" fontId="18" fillId="3" borderId="11" xfId="0" applyFont="1" applyFill="1" applyBorder="1"/>
    <xf numFmtId="0" fontId="14" fillId="11" borderId="2" xfId="0" applyFont="1" applyFill="1" applyBorder="1" applyAlignment="1">
      <alignment horizontal="left" vertical="center" indent="1"/>
    </xf>
    <xf numFmtId="0" fontId="0" fillId="11" borderId="3" xfId="0" applyFill="1" applyBorder="1"/>
    <xf numFmtId="0" fontId="19" fillId="11" borderId="1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0" fillId="11" borderId="8" xfId="0" applyFill="1" applyBorder="1"/>
    <xf numFmtId="0" fontId="12" fillId="2" borderId="0" xfId="0" applyFont="1" applyFill="1" applyAlignment="1">
      <alignment horizontal="left" vertical="top" indent="1"/>
    </xf>
    <xf numFmtId="0" fontId="17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left" vertical="center"/>
    </xf>
    <xf numFmtId="0" fontId="23" fillId="15" borderId="1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center" vertical="center"/>
    </xf>
    <xf numFmtId="10" fontId="23" fillId="16" borderId="1" xfId="0" applyNumberFormat="1" applyFont="1" applyFill="1" applyBorder="1" applyAlignment="1">
      <alignment horizontal="right" vertical="center"/>
    </xf>
    <xf numFmtId="164" fontId="23" fillId="16" borderId="1" xfId="0" applyNumberFormat="1" applyFont="1" applyFill="1" applyBorder="1" applyAlignment="1">
      <alignment horizontal="right" vertical="center"/>
    </xf>
    <xf numFmtId="10" fontId="15" fillId="11" borderId="4" xfId="0" quotePrefix="1" applyNumberFormat="1" applyFont="1" applyFill="1" applyBorder="1" applyAlignment="1">
      <alignment horizontal="left" vertical="center" indent="1"/>
    </xf>
    <xf numFmtId="0" fontId="22" fillId="17" borderId="6" xfId="1" applyFill="1" applyBorder="1" applyAlignment="1">
      <alignment horizontal="left" vertical="center" indent="1"/>
    </xf>
    <xf numFmtId="0" fontId="22" fillId="17" borderId="7" xfId="1" applyFill="1" applyBorder="1"/>
    <xf numFmtId="0" fontId="25" fillId="17" borderId="6" xfId="1" applyFont="1" applyFill="1" applyBorder="1" applyAlignment="1">
      <alignment horizontal="left" vertical="center" indent="1"/>
    </xf>
    <xf numFmtId="0" fontId="25" fillId="17" borderId="7" xfId="1" applyFont="1" applyFill="1" applyBorder="1" applyAlignment="1">
      <alignment horizontal="left" vertical="center" indent="1"/>
    </xf>
  </cellXfs>
  <cellStyles count="2">
    <cellStyle name="Neutro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Trajetória Mensal: Alimentação no Domicílio (2025 vs 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DADOS_MENSAL!$E$4</c:f>
              <c:strCache>
                <c:ptCount val="1"/>
                <c:pt idx="0">
                  <c:v>Alim. Domicílio 2025</c:v>
                </c:pt>
              </c:strCache>
            </c:strRef>
          </c:tx>
          <c:spPr>
            <a:ln w="25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DADOS_MENSAL!$A$5:$A$16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DADOS_MENSAL!$E$5:$E$16</c:f>
              <c:numCache>
                <c:formatCode>0.00%</c:formatCode>
                <c:ptCount val="12"/>
                <c:pt idx="0">
                  <c:v>2.5000000000000001E-3</c:v>
                </c:pt>
                <c:pt idx="1">
                  <c:v>4.1999999999999997E-3</c:v>
                </c:pt>
                <c:pt idx="2">
                  <c:v>5.3E-3</c:v>
                </c:pt>
                <c:pt idx="3">
                  <c:v>7.1000000000000004E-3</c:v>
                </c:pt>
                <c:pt idx="4">
                  <c:v>6.1999999999999998E-3</c:v>
                </c:pt>
                <c:pt idx="5">
                  <c:v>-1.8E-3</c:v>
                </c:pt>
                <c:pt idx="6">
                  <c:v>-2.5000000000000001E-3</c:v>
                </c:pt>
                <c:pt idx="7">
                  <c:v>-4.4000000000000003E-3</c:v>
                </c:pt>
                <c:pt idx="8">
                  <c:v>-2.8999999999999998E-3</c:v>
                </c:pt>
                <c:pt idx="9">
                  <c:v>-1.5E-3</c:v>
                </c:pt>
                <c:pt idx="10">
                  <c:v>-2E-3</c:v>
                </c:pt>
                <c:pt idx="11">
                  <c:v>1.4E-3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E-4F53-A652-4D7E2F95F793}"/>
            </c:ext>
          </c:extLst>
        </c:ser>
        <c:ser>
          <c:idx val="1"/>
          <c:order val="1"/>
          <c:tx>
            <c:strRef>
              <c:f>DADOS_MENSAL!$F$4</c:f>
              <c:strCache>
                <c:ptCount val="1"/>
                <c:pt idx="0">
                  <c:v>Alim. Domicílio 2026</c:v>
                </c:pt>
              </c:strCache>
            </c:strRef>
          </c:tx>
          <c:spPr>
            <a:ln w="28000">
              <a:solidFill>
                <a:srgbClr val="E06D24"/>
              </a:solidFill>
              <a:prstDash val="solid"/>
            </a:ln>
          </c:spPr>
          <c:marker>
            <c:symbol val="none"/>
          </c:marker>
          <c:cat>
            <c:strRef>
              <c:f>DADOS_MENSAL!$A$5:$A$16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DADOS_MENSAL!$F$5:$F$16</c:f>
              <c:numCache>
                <c:formatCode>0.00%</c:formatCode>
                <c:ptCount val="12"/>
                <c:pt idx="0">
                  <c:v>2.3E-3</c:v>
                </c:pt>
                <c:pt idx="1">
                  <c:v>2.5999999999999999E-3</c:v>
                </c:pt>
                <c:pt idx="2">
                  <c:v>8.5000000000000006E-3</c:v>
                </c:pt>
                <c:pt idx="3">
                  <c:v>1.34E-2</c:v>
                </c:pt>
                <c:pt idx="4">
                  <c:v>1.3299999999999999E-2</c:v>
                </c:pt>
                <c:pt idx="5">
                  <c:v>-2.3999999999999998E-3</c:v>
                </c:pt>
                <c:pt idx="6">
                  <c:v>-6.7000000000000002E-3</c:v>
                </c:pt>
                <c:pt idx="7">
                  <c:v>-3.3999999999999998E-3</c:v>
                </c:pt>
                <c:pt idx="8">
                  <c:v>8.3000000000000001E-3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6.4999999999999997E-3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E-4F53-A652-4D7E2F95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Variação Mensal (%)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Divergência Ponto a Ponto (Var YoY p.p.: 2026 vs 2025)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DADOS_MENSAL!$G$4</c:f>
              <c:strCache>
                <c:ptCount val="1"/>
                <c:pt idx="0">
                  <c:v>Var YoY p.p.</c:v>
                </c:pt>
              </c:strCache>
            </c:strRef>
          </c:tx>
          <c:spPr>
            <a:solidFill>
              <a:srgbClr val="2A4D7C"/>
            </a:solidFill>
            <a:ln>
              <a:prstDash val="solid"/>
            </a:ln>
          </c:spPr>
          <c:invertIfNegative val="1"/>
          <c:cat>
            <c:strRef>
              <c:f>DADOS_MENSAL!$A$5:$A$16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DADOS_MENSAL!$G$5:$G$16</c:f>
              <c:numCache>
                <c:formatCode>\+0.00%;\-0.00%;0.00%</c:formatCode>
                <c:ptCount val="12"/>
                <c:pt idx="0">
                  <c:v>-2.0000000000000009E-4</c:v>
                </c:pt>
                <c:pt idx="1">
                  <c:v>-1.5999999999999999E-3</c:v>
                </c:pt>
                <c:pt idx="2">
                  <c:v>3.2000000000000006E-3</c:v>
                </c:pt>
                <c:pt idx="3">
                  <c:v>6.3E-3</c:v>
                </c:pt>
                <c:pt idx="4">
                  <c:v>7.0999999999999995E-3</c:v>
                </c:pt>
                <c:pt idx="5">
                  <c:v>-5.9999999999999984E-4</c:v>
                </c:pt>
                <c:pt idx="6">
                  <c:v>-4.2000000000000006E-3</c:v>
                </c:pt>
                <c:pt idx="7">
                  <c:v>1.0000000000000005E-3</c:v>
                </c:pt>
                <c:pt idx="8">
                  <c:v>1.12E-2</c:v>
                </c:pt>
                <c:pt idx="9">
                  <c:v>6.0000000000000001E-3</c:v>
                </c:pt>
                <c:pt idx="10">
                  <c:v>7.0000000000000001E-3</c:v>
                </c:pt>
                <c:pt idx="11">
                  <c:v>5.0999999999999995E-3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03-4A26-AA9F-C4B9FBFDF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Diferença em p.p.</a:t>
                </a:r>
              </a:p>
            </c:rich>
          </c:tx>
          <c:overlay val="1"/>
        </c:title>
        <c:numFmt formatCode="\+0.0%;\-0.0%;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200024</xdr:colOff>
      <xdr:row>8</xdr:row>
      <xdr:rowOff>0</xdr:rowOff>
    </xdr:from>
    <xdr:ext cx="8048625" cy="3095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609600</xdr:colOff>
      <xdr:row>8</xdr:row>
      <xdr:rowOff>0</xdr:rowOff>
    </xdr:from>
    <xdr:ext cx="6838950" cy="30670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4"/>
  <sheetViews>
    <sheetView showGridLines="0" tabSelected="1" topLeftCell="A2" workbookViewId="0">
      <selection activeCell="F7" sqref="F7:G7"/>
    </sheetView>
  </sheetViews>
  <sheetFormatPr defaultRowHeight="15" x14ac:dyDescent="0.25"/>
  <cols>
    <col min="1" max="1" width="3" customWidth="1"/>
    <col min="2" max="3" width="16" customWidth="1"/>
    <col min="4" max="5" width="17" customWidth="1"/>
    <col min="6" max="6" width="16" customWidth="1"/>
    <col min="7" max="7" width="17.7109375" customWidth="1"/>
    <col min="8" max="9" width="16" customWidth="1"/>
    <col min="10" max="10" width="18" customWidth="1"/>
    <col min="11" max="13" width="12" customWidth="1"/>
    <col min="14" max="14" width="24" customWidth="1"/>
    <col min="15" max="15" width="18" customWidth="1"/>
    <col min="16" max="16" width="4" customWidth="1"/>
  </cols>
  <sheetData>
    <row r="2" spans="2:16" ht="36" customHeight="1" x14ac:dyDescent="0.2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2:16" ht="20.100000000000001" customHeight="1" x14ac:dyDescent="0.25">
      <c r="B3" s="49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2:16" ht="18" customHeight="1" x14ac:dyDescent="0.25">
      <c r="B4" s="47" t="s">
        <v>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2:16" ht="18" customHeight="1" x14ac:dyDescent="0.25">
      <c r="B5" s="44" t="s">
        <v>3</v>
      </c>
      <c r="C5" s="45"/>
      <c r="D5" s="44" t="s">
        <v>4</v>
      </c>
      <c r="E5" s="45"/>
      <c r="F5" s="44" t="s">
        <v>212</v>
      </c>
      <c r="G5" s="45"/>
      <c r="H5" s="44" t="s">
        <v>5</v>
      </c>
      <c r="I5" s="45"/>
      <c r="J5" s="44" t="s">
        <v>6</v>
      </c>
      <c r="K5" s="48"/>
      <c r="L5" s="45"/>
      <c r="M5" s="44" t="s">
        <v>7</v>
      </c>
      <c r="N5" s="48"/>
      <c r="O5" s="45"/>
    </row>
    <row r="6" spans="2:16" ht="27.95" customHeight="1" x14ac:dyDescent="0.25">
      <c r="B6" s="34" t="s">
        <v>8</v>
      </c>
      <c r="C6" s="36"/>
      <c r="D6" s="58" t="s">
        <v>213</v>
      </c>
      <c r="E6" s="36"/>
      <c r="F6" s="58" t="s">
        <v>214</v>
      </c>
      <c r="G6" s="36"/>
      <c r="H6" s="34" t="s">
        <v>11</v>
      </c>
      <c r="I6" s="36"/>
      <c r="J6" s="34" t="s">
        <v>12</v>
      </c>
      <c r="K6" s="35"/>
      <c r="L6" s="36"/>
      <c r="M6" s="34" t="s">
        <v>13</v>
      </c>
      <c r="N6" s="35"/>
      <c r="O6" s="36"/>
    </row>
    <row r="7" spans="2:16" ht="18" customHeight="1" x14ac:dyDescent="0.25">
      <c r="B7" s="39" t="s">
        <v>14</v>
      </c>
      <c r="C7" s="40"/>
      <c r="D7" s="61" t="s">
        <v>15</v>
      </c>
      <c r="E7" s="62"/>
      <c r="F7" s="59" t="s">
        <v>15</v>
      </c>
      <c r="G7" s="60"/>
      <c r="H7" s="39" t="s">
        <v>16</v>
      </c>
      <c r="I7" s="40"/>
      <c r="J7" s="39" t="s">
        <v>17</v>
      </c>
      <c r="K7" s="41"/>
      <c r="L7" s="40"/>
      <c r="M7" s="39" t="s">
        <v>18</v>
      </c>
      <c r="N7" s="41"/>
      <c r="O7" s="40"/>
    </row>
    <row r="8" spans="2:16" ht="9.9499999999999993" customHeight="1" x14ac:dyDescent="0.25"/>
    <row r="26" spans="2:15" ht="24" customHeight="1" x14ac:dyDescent="0.25">
      <c r="B26" s="50" t="s">
        <v>19</v>
      </c>
      <c r="C26" s="38"/>
      <c r="D26" s="38"/>
      <c r="E26" s="38"/>
      <c r="F26" s="38"/>
      <c r="G26" s="38"/>
      <c r="H26" s="38"/>
      <c r="I26" s="38"/>
      <c r="J26" s="42" t="s">
        <v>20</v>
      </c>
      <c r="K26" s="38"/>
      <c r="L26" s="38"/>
      <c r="M26" s="38"/>
      <c r="N26" s="38"/>
      <c r="O26" s="38"/>
    </row>
    <row r="27" spans="2:15" ht="20.100000000000001" customHeight="1" x14ac:dyDescent="0.25">
      <c r="B27" s="43" t="s">
        <v>21</v>
      </c>
      <c r="C27" s="38"/>
      <c r="D27" s="38"/>
      <c r="E27" s="38"/>
      <c r="F27" s="38"/>
      <c r="G27" s="38"/>
      <c r="H27" s="38"/>
      <c r="I27" s="38"/>
      <c r="J27" s="1" t="s">
        <v>22</v>
      </c>
      <c r="K27" s="1" t="s">
        <v>23</v>
      </c>
      <c r="L27" s="1" t="s">
        <v>24</v>
      </c>
      <c r="M27" s="1" t="s">
        <v>25</v>
      </c>
      <c r="N27" s="2" t="s">
        <v>26</v>
      </c>
      <c r="O27" s="2" t="s">
        <v>27</v>
      </c>
    </row>
    <row r="28" spans="2:15" ht="24.95" customHeight="1" x14ac:dyDescent="0.25">
      <c r="B28" s="46" t="s">
        <v>28</v>
      </c>
      <c r="C28" s="38"/>
      <c r="D28" s="38"/>
      <c r="E28" s="38"/>
      <c r="F28" s="38"/>
      <c r="G28" s="38"/>
      <c r="H28" s="38"/>
      <c r="I28" s="38"/>
      <c r="J28" s="3" t="s">
        <v>29</v>
      </c>
      <c r="K28" s="4" t="s">
        <v>30</v>
      </c>
      <c r="L28" s="4" t="s">
        <v>31</v>
      </c>
      <c r="M28" s="4" t="s">
        <v>32</v>
      </c>
      <c r="N28" s="5" t="s">
        <v>33</v>
      </c>
      <c r="O28" s="5" t="s">
        <v>34</v>
      </c>
    </row>
    <row r="29" spans="2:15" ht="24.95" customHeight="1" x14ac:dyDescent="0.25">
      <c r="B29" s="43" t="s">
        <v>35</v>
      </c>
      <c r="C29" s="38"/>
      <c r="D29" s="38"/>
      <c r="E29" s="38"/>
      <c r="F29" s="38"/>
      <c r="G29" s="38"/>
      <c r="H29" s="38"/>
      <c r="I29" s="38"/>
      <c r="J29" s="3" t="s">
        <v>36</v>
      </c>
      <c r="K29" s="4" t="s">
        <v>37</v>
      </c>
      <c r="L29" s="4" t="s">
        <v>38</v>
      </c>
      <c r="M29" s="4" t="s">
        <v>39</v>
      </c>
      <c r="N29" s="5" t="s">
        <v>40</v>
      </c>
      <c r="O29" s="5" t="s">
        <v>41</v>
      </c>
    </row>
    <row r="30" spans="2:15" ht="24.95" customHeight="1" x14ac:dyDescent="0.25">
      <c r="B30" s="46" t="s">
        <v>42</v>
      </c>
      <c r="C30" s="38"/>
      <c r="D30" s="38"/>
      <c r="E30" s="38"/>
      <c r="F30" s="38"/>
      <c r="G30" s="38"/>
      <c r="H30" s="38"/>
      <c r="I30" s="38"/>
      <c r="J30" s="3" t="s">
        <v>43</v>
      </c>
      <c r="K30" s="4" t="s">
        <v>44</v>
      </c>
      <c r="L30" s="4" t="s">
        <v>45</v>
      </c>
      <c r="M30" s="4" t="s">
        <v>46</v>
      </c>
      <c r="N30" s="5" t="s">
        <v>47</v>
      </c>
      <c r="O30" s="5" t="s">
        <v>48</v>
      </c>
    </row>
    <row r="31" spans="2:15" ht="24.95" customHeight="1" x14ac:dyDescent="0.25">
      <c r="B31" s="43" t="s">
        <v>49</v>
      </c>
      <c r="C31" s="38"/>
      <c r="D31" s="38"/>
      <c r="E31" s="38"/>
      <c r="F31" s="38"/>
      <c r="G31" s="38"/>
      <c r="H31" s="38"/>
      <c r="I31" s="38"/>
      <c r="J31" s="3" t="s">
        <v>50</v>
      </c>
      <c r="K31" s="4" t="s">
        <v>51</v>
      </c>
      <c r="L31" s="4" t="s">
        <v>52</v>
      </c>
      <c r="M31" s="4" t="s">
        <v>53</v>
      </c>
      <c r="N31" s="5" t="s">
        <v>54</v>
      </c>
      <c r="O31" s="5" t="s">
        <v>55</v>
      </c>
    </row>
    <row r="32" spans="2:15" ht="24.95" customHeight="1" x14ac:dyDescent="0.25">
      <c r="B32" s="46" t="s">
        <v>56</v>
      </c>
      <c r="C32" s="38"/>
      <c r="D32" s="38"/>
      <c r="E32" s="38"/>
      <c r="F32" s="38"/>
      <c r="G32" s="38"/>
      <c r="H32" s="38"/>
      <c r="I32" s="38"/>
      <c r="J32" s="6" t="s">
        <v>57</v>
      </c>
      <c r="K32" s="7" t="s">
        <v>58</v>
      </c>
      <c r="L32" s="7" t="s">
        <v>59</v>
      </c>
      <c r="M32" s="7" t="s">
        <v>60</v>
      </c>
      <c r="N32" s="8" t="s">
        <v>61</v>
      </c>
      <c r="O32" s="8" t="s">
        <v>62</v>
      </c>
    </row>
    <row r="33" spans="2:9" ht="18" customHeight="1" x14ac:dyDescent="0.25">
      <c r="B33" s="43" t="s">
        <v>63</v>
      </c>
      <c r="C33" s="38"/>
      <c r="D33" s="38"/>
      <c r="E33" s="38"/>
      <c r="F33" s="38"/>
      <c r="G33" s="38"/>
      <c r="H33" s="38"/>
      <c r="I33" s="38"/>
    </row>
    <row r="34" spans="2:9" ht="42" customHeight="1" x14ac:dyDescent="0.25">
      <c r="B34" s="46" t="s">
        <v>64</v>
      </c>
      <c r="C34" s="38"/>
      <c r="D34" s="38"/>
      <c r="E34" s="38"/>
      <c r="F34" s="38"/>
      <c r="G34" s="38"/>
      <c r="H34" s="38"/>
      <c r="I34" s="38"/>
    </row>
  </sheetData>
  <mergeCells count="31">
    <mergeCell ref="B34:I34"/>
    <mergeCell ref="B28:I28"/>
    <mergeCell ref="B4:P4"/>
    <mergeCell ref="J5:L5"/>
    <mergeCell ref="B6:C6"/>
    <mergeCell ref="B30:I30"/>
    <mergeCell ref="B33:I33"/>
    <mergeCell ref="B5:C5"/>
    <mergeCell ref="D5:E5"/>
    <mergeCell ref="M5:O5"/>
    <mergeCell ref="H5:I5"/>
    <mergeCell ref="B32:I32"/>
    <mergeCell ref="B26:I26"/>
    <mergeCell ref="J26:O26"/>
    <mergeCell ref="B31:I31"/>
    <mergeCell ref="B27:I27"/>
    <mergeCell ref="M6:O6"/>
    <mergeCell ref="F7:G7"/>
    <mergeCell ref="J7:L7"/>
    <mergeCell ref="D6:E6"/>
    <mergeCell ref="H6:I6"/>
    <mergeCell ref="D7:E7"/>
    <mergeCell ref="B29:I29"/>
    <mergeCell ref="H7:I7"/>
    <mergeCell ref="J6:L6"/>
    <mergeCell ref="B2:P2"/>
    <mergeCell ref="B7:C7"/>
    <mergeCell ref="F6:G6"/>
    <mergeCell ref="M7:O7"/>
    <mergeCell ref="F5:G5"/>
    <mergeCell ref="B3:P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C19" sqref="C19"/>
    </sheetView>
  </sheetViews>
  <sheetFormatPr defaultRowHeight="15" x14ac:dyDescent="0.25"/>
  <cols>
    <col min="1" max="1" width="29.5703125" customWidth="1"/>
    <col min="2" max="2" width="6" customWidth="1"/>
    <col min="3" max="4" width="16" customWidth="1"/>
    <col min="5" max="6" width="20" customWidth="1"/>
    <col min="7" max="7" width="14" customWidth="1"/>
    <col min="8" max="9" width="18" customWidth="1"/>
    <col min="10" max="10" width="15" customWidth="1"/>
    <col min="11" max="11" width="60" customWidth="1"/>
  </cols>
  <sheetData>
    <row r="1" spans="1:11" ht="35.1" customHeight="1" x14ac:dyDescent="0.25">
      <c r="A1" s="52" t="s">
        <v>65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0.100000000000001" customHeight="1" x14ac:dyDescent="0.25">
      <c r="A2" s="51" t="s">
        <v>66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26.1" customHeight="1" x14ac:dyDescent="0.25">
      <c r="A4" s="9" t="s">
        <v>67</v>
      </c>
      <c r="B4" s="9" t="s">
        <v>68</v>
      </c>
      <c r="C4" s="9" t="s">
        <v>69</v>
      </c>
      <c r="D4" s="9" t="s">
        <v>70</v>
      </c>
      <c r="E4" s="9" t="s">
        <v>71</v>
      </c>
      <c r="F4" s="9" t="s">
        <v>72</v>
      </c>
      <c r="G4" s="9" t="s">
        <v>73</v>
      </c>
      <c r="H4" s="9" t="s">
        <v>74</v>
      </c>
      <c r="I4" s="9" t="s">
        <v>75</v>
      </c>
      <c r="J4" s="9" t="s">
        <v>76</v>
      </c>
      <c r="K4" s="10" t="s">
        <v>77</v>
      </c>
    </row>
    <row r="5" spans="1:11" ht="24" customHeight="1" x14ac:dyDescent="0.25">
      <c r="A5" s="11" t="s">
        <v>78</v>
      </c>
      <c r="B5" s="11">
        <v>1</v>
      </c>
      <c r="C5" s="12">
        <v>1.6000000000000001E-3</v>
      </c>
      <c r="D5" s="12">
        <v>3.0999999999999999E-3</v>
      </c>
      <c r="E5" s="12">
        <v>2.5000000000000001E-3</v>
      </c>
      <c r="F5" s="12">
        <v>2.3E-3</v>
      </c>
      <c r="G5" s="13">
        <f t="shared" ref="G5:G16" si="0">F5-E5</f>
        <v>-2.0000000000000009E-4</v>
      </c>
      <c r="H5" s="12">
        <v>2.8E-3</v>
      </c>
      <c r="I5" s="12">
        <v>2.5000000000000001E-3</v>
      </c>
      <c r="J5" s="14" t="s">
        <v>79</v>
      </c>
      <c r="K5" s="15" t="s">
        <v>80</v>
      </c>
    </row>
    <row r="6" spans="1:11" ht="24" customHeight="1" x14ac:dyDescent="0.25">
      <c r="A6" s="16" t="s">
        <v>81</v>
      </c>
      <c r="B6" s="16">
        <v>2</v>
      </c>
      <c r="C6" s="17">
        <v>8.3000000000000001E-3</v>
      </c>
      <c r="D6" s="17">
        <v>4.4000000000000003E-3</v>
      </c>
      <c r="E6" s="17">
        <v>4.1999999999999997E-3</v>
      </c>
      <c r="F6" s="17">
        <v>2.5999999999999999E-3</v>
      </c>
      <c r="G6" s="18">
        <f t="shared" si="0"/>
        <v>-1.5999999999999999E-3</v>
      </c>
      <c r="H6" s="17">
        <v>3.8999999999999998E-3</v>
      </c>
      <c r="I6" s="17">
        <v>3.0000000000000001E-3</v>
      </c>
      <c r="J6" s="14" t="s">
        <v>82</v>
      </c>
      <c r="K6" s="19" t="s">
        <v>83</v>
      </c>
    </row>
    <row r="7" spans="1:11" ht="24" customHeight="1" x14ac:dyDescent="0.25">
      <c r="A7" s="11" t="s">
        <v>84</v>
      </c>
      <c r="B7" s="11">
        <v>3</v>
      </c>
      <c r="C7" s="12">
        <v>1.6000000000000001E-3</v>
      </c>
      <c r="D7" s="12">
        <v>1.9E-3</v>
      </c>
      <c r="E7" s="12">
        <v>5.3E-3</v>
      </c>
      <c r="F7" s="12">
        <v>8.5000000000000006E-3</v>
      </c>
      <c r="G7" s="13">
        <f t="shared" si="0"/>
        <v>3.2000000000000006E-3</v>
      </c>
      <c r="H7" s="12">
        <v>4.4999999999999997E-3</v>
      </c>
      <c r="I7" s="12">
        <v>7.7999999999999996E-3</v>
      </c>
      <c r="J7" s="20" t="s">
        <v>85</v>
      </c>
      <c r="K7" s="15" t="s">
        <v>86</v>
      </c>
    </row>
    <row r="8" spans="1:11" ht="24" customHeight="1" x14ac:dyDescent="0.25">
      <c r="A8" s="16" t="s">
        <v>87</v>
      </c>
      <c r="B8" s="16">
        <v>4</v>
      </c>
      <c r="C8" s="17">
        <v>3.8E-3</v>
      </c>
      <c r="D8" s="17">
        <v>4.1999999999999997E-3</v>
      </c>
      <c r="E8" s="17">
        <v>7.1000000000000004E-3</v>
      </c>
      <c r="F8" s="17">
        <v>1.34E-2</v>
      </c>
      <c r="G8" s="18">
        <f t="shared" si="0"/>
        <v>6.3E-3</v>
      </c>
      <c r="H8" s="17">
        <v>6.4999999999999997E-3</v>
      </c>
      <c r="I8" s="17">
        <v>1.2500000000000001E-2</v>
      </c>
      <c r="J8" s="21" t="s">
        <v>88</v>
      </c>
      <c r="K8" s="19" t="s">
        <v>89</v>
      </c>
    </row>
    <row r="9" spans="1:11" ht="24" customHeight="1" x14ac:dyDescent="0.25">
      <c r="A9" s="11" t="s">
        <v>90</v>
      </c>
      <c r="B9" s="11">
        <v>5</v>
      </c>
      <c r="C9" s="12">
        <v>4.5999999999999999E-3</v>
      </c>
      <c r="D9" s="12">
        <v>4.4000000000000003E-3</v>
      </c>
      <c r="E9" s="12">
        <v>6.1999999999999998E-3</v>
      </c>
      <c r="F9" s="12">
        <v>1.3299999999999999E-2</v>
      </c>
      <c r="G9" s="13">
        <f t="shared" si="0"/>
        <v>7.0999999999999995E-3</v>
      </c>
      <c r="H9" s="12">
        <v>5.7999999999999996E-3</v>
      </c>
      <c r="I9" s="12">
        <v>1.18E-2</v>
      </c>
      <c r="J9" s="21" t="s">
        <v>88</v>
      </c>
      <c r="K9" s="15" t="s">
        <v>91</v>
      </c>
    </row>
    <row r="10" spans="1:11" ht="24" customHeight="1" x14ac:dyDescent="0.25">
      <c r="A10" s="16" t="s">
        <v>92</v>
      </c>
      <c r="B10" s="16">
        <v>6</v>
      </c>
      <c r="C10" s="17">
        <v>2.0999999999999999E-3</v>
      </c>
      <c r="D10" s="17">
        <v>2.5000000000000001E-3</v>
      </c>
      <c r="E10" s="17">
        <v>-1.8E-3</v>
      </c>
      <c r="F10" s="17">
        <v>-2.3999999999999998E-3</v>
      </c>
      <c r="G10" s="18">
        <f t="shared" si="0"/>
        <v>-5.9999999999999984E-4</v>
      </c>
      <c r="H10" s="17">
        <v>-1.1999999999999999E-3</v>
      </c>
      <c r="I10" s="17">
        <v>-1.8E-3</v>
      </c>
      <c r="J10" s="22" t="s">
        <v>93</v>
      </c>
      <c r="K10" s="19" t="s">
        <v>94</v>
      </c>
    </row>
    <row r="11" spans="1:11" ht="24" customHeight="1" x14ac:dyDescent="0.25">
      <c r="A11" s="11" t="s">
        <v>95</v>
      </c>
      <c r="B11" s="11">
        <v>7</v>
      </c>
      <c r="C11" s="12">
        <v>3.8E-3</v>
      </c>
      <c r="D11" s="12">
        <v>2.5999999999999999E-3</v>
      </c>
      <c r="E11" s="12">
        <v>-2.5000000000000001E-3</v>
      </c>
      <c r="F11" s="12">
        <v>-6.7000000000000002E-3</v>
      </c>
      <c r="G11" s="13">
        <f t="shared" si="0"/>
        <v>-4.2000000000000006E-3</v>
      </c>
      <c r="H11" s="12">
        <v>-2E-3</v>
      </c>
      <c r="I11" s="12">
        <v>-5.4999999999999997E-3</v>
      </c>
      <c r="J11" s="22" t="s">
        <v>93</v>
      </c>
      <c r="K11" s="15" t="s">
        <v>96</v>
      </c>
    </row>
    <row r="12" spans="1:11" ht="24" customHeight="1" x14ac:dyDescent="0.25">
      <c r="A12" s="16" t="s">
        <v>97</v>
      </c>
      <c r="B12" s="16">
        <v>8</v>
      </c>
      <c r="C12" s="17">
        <v>-2.0000000000000001E-4</v>
      </c>
      <c r="D12" s="17">
        <v>2.0000000000000001E-4</v>
      </c>
      <c r="E12" s="17">
        <v>-4.4000000000000003E-3</v>
      </c>
      <c r="F12" s="17">
        <v>-3.3999999999999998E-3</v>
      </c>
      <c r="G12" s="18">
        <f t="shared" si="0"/>
        <v>1.0000000000000005E-3</v>
      </c>
      <c r="H12" s="17">
        <v>-3.8E-3</v>
      </c>
      <c r="I12" s="17">
        <v>-2.8E-3</v>
      </c>
      <c r="J12" s="22" t="s">
        <v>93</v>
      </c>
      <c r="K12" s="19" t="s">
        <v>98</v>
      </c>
    </row>
    <row r="13" spans="1:11" ht="24" customHeight="1" x14ac:dyDescent="0.25">
      <c r="A13" s="11" t="s">
        <v>99</v>
      </c>
      <c r="B13" s="11">
        <v>9</v>
      </c>
      <c r="C13" s="12">
        <v>4.4000000000000003E-3</v>
      </c>
      <c r="D13" s="12">
        <v>4.7999999999999996E-3</v>
      </c>
      <c r="E13" s="12">
        <v>-2.8999999999999998E-3</v>
      </c>
      <c r="F13" s="12">
        <v>8.3000000000000001E-3</v>
      </c>
      <c r="G13" s="13">
        <f t="shared" si="0"/>
        <v>1.12E-2</v>
      </c>
      <c r="H13" s="12">
        <v>-2.2000000000000001E-3</v>
      </c>
      <c r="I13" s="12">
        <v>7.4999999999999997E-3</v>
      </c>
      <c r="J13" s="20" t="s">
        <v>85</v>
      </c>
      <c r="K13" s="15" t="s">
        <v>100</v>
      </c>
    </row>
    <row r="14" spans="1:11" ht="24" customHeight="1" x14ac:dyDescent="0.25">
      <c r="A14" s="16" t="s">
        <v>101</v>
      </c>
      <c r="B14" s="16">
        <v>10</v>
      </c>
      <c r="C14" s="17">
        <v>5.5999999999999999E-3</v>
      </c>
      <c r="D14" s="17">
        <v>4.0000000000000001E-3</v>
      </c>
      <c r="E14" s="17">
        <v>-1.5E-3</v>
      </c>
      <c r="F14" s="17">
        <v>4.4999999999999997E-3</v>
      </c>
      <c r="G14" s="18">
        <f t="shared" si="0"/>
        <v>6.0000000000000001E-3</v>
      </c>
      <c r="H14" s="17">
        <v>-1E-3</v>
      </c>
      <c r="I14" s="17">
        <v>4.0000000000000001E-3</v>
      </c>
      <c r="J14" s="14" t="s">
        <v>102</v>
      </c>
      <c r="K14" s="19" t="s">
        <v>103</v>
      </c>
    </row>
    <row r="15" spans="1:11" ht="24" customHeight="1" x14ac:dyDescent="0.25">
      <c r="A15" s="11" t="s">
        <v>104</v>
      </c>
      <c r="B15" s="11">
        <v>11</v>
      </c>
      <c r="C15" s="12">
        <v>3.5999999999999999E-3</v>
      </c>
      <c r="D15" s="12">
        <v>3.8E-3</v>
      </c>
      <c r="E15" s="12">
        <v>-2E-3</v>
      </c>
      <c r="F15" s="12">
        <v>5.0000000000000001E-3</v>
      </c>
      <c r="G15" s="13">
        <f t="shared" si="0"/>
        <v>7.0000000000000001E-3</v>
      </c>
      <c r="H15" s="12">
        <v>-1.5E-3</v>
      </c>
      <c r="I15" s="12">
        <v>4.7999999999999996E-3</v>
      </c>
      <c r="J15" s="14" t="s">
        <v>102</v>
      </c>
      <c r="K15" s="15" t="s">
        <v>105</v>
      </c>
    </row>
    <row r="16" spans="1:11" ht="24" customHeight="1" x14ac:dyDescent="0.25">
      <c r="A16" s="16" t="s">
        <v>106</v>
      </c>
      <c r="B16" s="16">
        <v>12</v>
      </c>
      <c r="C16" s="17">
        <v>5.1999999999999998E-3</v>
      </c>
      <c r="D16" s="17">
        <v>4.7000000000000002E-3</v>
      </c>
      <c r="E16" s="17">
        <v>1.4E-3</v>
      </c>
      <c r="F16" s="17">
        <v>6.4999999999999997E-3</v>
      </c>
      <c r="G16" s="18">
        <f t="shared" si="0"/>
        <v>5.0999999999999995E-3</v>
      </c>
      <c r="H16" s="17">
        <v>1.8E-3</v>
      </c>
      <c r="I16" s="17">
        <v>6.0000000000000001E-3</v>
      </c>
      <c r="J16" s="14" t="s">
        <v>102</v>
      </c>
      <c r="K16" s="19" t="s">
        <v>107</v>
      </c>
    </row>
    <row r="17" spans="1:11" ht="21.95" customHeight="1" x14ac:dyDescent="0.25">
      <c r="A17" s="23" t="s">
        <v>108</v>
      </c>
      <c r="B17" s="11" t="s">
        <v>109</v>
      </c>
      <c r="C17" s="24">
        <f t="shared" ref="C17:I17" si="1">AVERAGE(C5:C16)</f>
        <v>3.7000000000000006E-3</v>
      </c>
      <c r="D17" s="24">
        <f t="shared" si="1"/>
        <v>3.3833333333333337E-3</v>
      </c>
      <c r="E17" s="24">
        <f t="shared" si="1"/>
        <v>9.6666666666666678E-4</v>
      </c>
      <c r="F17" s="24">
        <f t="shared" si="1"/>
        <v>4.324999999999999E-3</v>
      </c>
      <c r="G17" s="25">
        <f t="shared" si="1"/>
        <v>3.3583333333333334E-3</v>
      </c>
      <c r="H17" s="24">
        <f t="shared" si="1"/>
        <v>1.133333333333333E-3</v>
      </c>
      <c r="I17" s="24">
        <f t="shared" si="1"/>
        <v>4.15E-3</v>
      </c>
      <c r="J17" s="11" t="s">
        <v>110</v>
      </c>
      <c r="K17" s="26" t="s">
        <v>111</v>
      </c>
    </row>
    <row r="18" spans="1:11" ht="24" customHeight="1" x14ac:dyDescent="0.25">
      <c r="A18" s="53" t="s">
        <v>112</v>
      </c>
      <c r="B18" s="11" t="s">
        <v>113</v>
      </c>
      <c r="C18" s="27">
        <v>4.2599999999999999E-2</v>
      </c>
      <c r="D18" s="27">
        <v>4.3999999999999997E-2</v>
      </c>
      <c r="E18" s="27">
        <v>2.8500000000000001E-2</v>
      </c>
      <c r="F18" s="27">
        <v>5.2900000000000003E-2</v>
      </c>
      <c r="G18" s="28">
        <f>F18-E18</f>
        <v>2.4400000000000002E-2</v>
      </c>
      <c r="H18" s="27">
        <v>3.1E-2</v>
      </c>
      <c r="I18" s="27">
        <v>5.1499999999999997E-2</v>
      </c>
      <c r="J18" s="29" t="s">
        <v>114</v>
      </c>
      <c r="K18" s="26" t="s">
        <v>115</v>
      </c>
    </row>
    <row r="19" spans="1:11" ht="24" customHeight="1" x14ac:dyDescent="0.25">
      <c r="A19" s="54" t="s">
        <v>116</v>
      </c>
      <c r="B19" s="55" t="s">
        <v>117</v>
      </c>
      <c r="C19" s="56">
        <v>3.3099999999999997E-2</v>
      </c>
      <c r="D19" s="56">
        <v>3.95E-2</v>
      </c>
      <c r="E19" s="56">
        <v>1.37E-2</v>
      </c>
      <c r="F19" s="56">
        <v>2.75E-2</v>
      </c>
      <c r="G19" s="57">
        <f>F19-E19</f>
        <v>1.38E-2</v>
      </c>
      <c r="H19" s="56">
        <v>2.1999999999999999E-2</v>
      </c>
      <c r="I19" s="56">
        <v>3.2000000000000001E-2</v>
      </c>
      <c r="J19" s="6" t="s">
        <v>118</v>
      </c>
      <c r="K19" s="26" t="s">
        <v>119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RowHeight="15" x14ac:dyDescent="0.25"/>
  <cols>
    <col min="1" max="1" width="22" customWidth="1"/>
    <col min="2" max="2" width="15" customWidth="1"/>
    <col min="3" max="3" width="28" customWidth="1"/>
    <col min="4" max="4" width="32" customWidth="1"/>
    <col min="5" max="5" width="18" customWidth="1"/>
    <col min="6" max="6" width="32" customWidth="1"/>
    <col min="7" max="7" width="14" customWidth="1"/>
    <col min="8" max="8" width="38" customWidth="1"/>
  </cols>
  <sheetData>
    <row r="1" spans="1:8" ht="32.1" customHeight="1" x14ac:dyDescent="0.25">
      <c r="A1" s="52" t="s">
        <v>120</v>
      </c>
      <c r="B1" s="38"/>
      <c r="C1" s="38"/>
      <c r="D1" s="38"/>
      <c r="E1" s="38"/>
      <c r="F1" s="38"/>
      <c r="G1" s="38"/>
      <c r="H1" s="38"/>
    </row>
    <row r="2" spans="1:8" ht="20.100000000000001" customHeight="1" x14ac:dyDescent="0.25">
      <c r="A2" s="51" t="s">
        <v>121</v>
      </c>
      <c r="B2" s="38"/>
      <c r="C2" s="38"/>
      <c r="D2" s="38"/>
      <c r="E2" s="38"/>
      <c r="F2" s="38"/>
      <c r="G2" s="38"/>
      <c r="H2" s="38"/>
    </row>
    <row r="4" spans="1:8" ht="24.95" customHeight="1" x14ac:dyDescent="0.25">
      <c r="A4" s="9" t="s">
        <v>122</v>
      </c>
      <c r="B4" s="9" t="s">
        <v>123</v>
      </c>
      <c r="C4" s="9" t="s">
        <v>124</v>
      </c>
      <c r="D4" s="9" t="s">
        <v>125</v>
      </c>
      <c r="E4" s="9" t="s">
        <v>126</v>
      </c>
      <c r="F4" s="10" t="s">
        <v>127</v>
      </c>
      <c r="G4" s="10" t="s">
        <v>128</v>
      </c>
      <c r="H4" s="10" t="s">
        <v>129</v>
      </c>
    </row>
    <row r="5" spans="1:8" ht="36" customHeight="1" x14ac:dyDescent="0.25">
      <c r="A5" s="30" t="s">
        <v>130</v>
      </c>
      <c r="B5" s="3" t="s">
        <v>131</v>
      </c>
      <c r="C5" s="15" t="s">
        <v>132</v>
      </c>
      <c r="D5" s="15" t="s">
        <v>133</v>
      </c>
      <c r="E5" s="3" t="s">
        <v>134</v>
      </c>
      <c r="F5" s="15" t="s">
        <v>135</v>
      </c>
      <c r="G5" s="3" t="s">
        <v>136</v>
      </c>
      <c r="H5" s="15" t="s">
        <v>137</v>
      </c>
    </row>
    <row r="6" spans="1:8" ht="36" customHeight="1" x14ac:dyDescent="0.25">
      <c r="A6" s="31" t="s">
        <v>138</v>
      </c>
      <c r="B6" s="32" t="s">
        <v>139</v>
      </c>
      <c r="C6" s="19" t="s">
        <v>140</v>
      </c>
      <c r="D6" s="19" t="s">
        <v>141</v>
      </c>
      <c r="E6" s="32" t="s">
        <v>142</v>
      </c>
      <c r="F6" s="19" t="s">
        <v>143</v>
      </c>
      <c r="G6" s="32" t="s">
        <v>144</v>
      </c>
      <c r="H6" s="19" t="s">
        <v>145</v>
      </c>
    </row>
    <row r="7" spans="1:8" ht="36" customHeight="1" x14ac:dyDescent="0.25">
      <c r="A7" s="30" t="s">
        <v>146</v>
      </c>
      <c r="B7" s="3" t="s">
        <v>147</v>
      </c>
      <c r="C7" s="15" t="s">
        <v>148</v>
      </c>
      <c r="D7" s="15" t="s">
        <v>149</v>
      </c>
      <c r="E7" s="3" t="s">
        <v>110</v>
      </c>
      <c r="F7" s="15" t="s">
        <v>150</v>
      </c>
      <c r="G7" s="3" t="s">
        <v>136</v>
      </c>
      <c r="H7" s="15" t="s">
        <v>151</v>
      </c>
    </row>
    <row r="8" spans="1:8" ht="36" customHeight="1" x14ac:dyDescent="0.25">
      <c r="A8" s="31" t="s">
        <v>152</v>
      </c>
      <c r="B8" s="32" t="s">
        <v>153</v>
      </c>
      <c r="C8" s="19" t="s">
        <v>154</v>
      </c>
      <c r="D8" s="19" t="s">
        <v>155</v>
      </c>
      <c r="E8" s="32" t="s">
        <v>156</v>
      </c>
      <c r="F8" s="19" t="s">
        <v>157</v>
      </c>
      <c r="G8" s="32" t="s">
        <v>158</v>
      </c>
      <c r="H8" s="19" t="s">
        <v>159</v>
      </c>
    </row>
    <row r="9" spans="1:8" ht="36" customHeight="1" x14ac:dyDescent="0.25">
      <c r="A9" s="30" t="s">
        <v>160</v>
      </c>
      <c r="B9" s="3" t="s">
        <v>161</v>
      </c>
      <c r="C9" s="15" t="s">
        <v>162</v>
      </c>
      <c r="D9" s="15" t="s">
        <v>163</v>
      </c>
      <c r="E9" s="3" t="s">
        <v>134</v>
      </c>
      <c r="F9" s="15" t="s">
        <v>164</v>
      </c>
      <c r="G9" s="3" t="s">
        <v>158</v>
      </c>
      <c r="H9" s="15" t="s">
        <v>165</v>
      </c>
    </row>
    <row r="10" spans="1:8" ht="36" customHeight="1" x14ac:dyDescent="0.25">
      <c r="A10" s="31" t="s">
        <v>166</v>
      </c>
      <c r="B10" s="32" t="s">
        <v>167</v>
      </c>
      <c r="C10" s="19" t="s">
        <v>168</v>
      </c>
      <c r="D10" s="19" t="s">
        <v>169</v>
      </c>
      <c r="E10" s="32" t="s">
        <v>110</v>
      </c>
      <c r="F10" s="19" t="s">
        <v>170</v>
      </c>
      <c r="G10" s="32" t="s">
        <v>171</v>
      </c>
      <c r="H10" s="19" t="s">
        <v>172</v>
      </c>
    </row>
    <row r="11" spans="1:8" ht="36" customHeight="1" x14ac:dyDescent="0.25">
      <c r="A11" s="30" t="s">
        <v>173</v>
      </c>
      <c r="B11" s="3" t="s">
        <v>174</v>
      </c>
      <c r="C11" s="15" t="s">
        <v>175</v>
      </c>
      <c r="D11" s="15" t="s">
        <v>176</v>
      </c>
      <c r="E11" s="3" t="s">
        <v>177</v>
      </c>
      <c r="F11" s="15" t="s">
        <v>178</v>
      </c>
      <c r="G11" s="3" t="s">
        <v>179</v>
      </c>
      <c r="H11" s="15" t="s">
        <v>180</v>
      </c>
    </row>
    <row r="12" spans="1:8" ht="36" customHeight="1" x14ac:dyDescent="0.25">
      <c r="A12" s="31" t="s">
        <v>181</v>
      </c>
      <c r="B12" s="32" t="s">
        <v>182</v>
      </c>
      <c r="C12" s="19" t="s">
        <v>183</v>
      </c>
      <c r="D12" s="19" t="s">
        <v>184</v>
      </c>
      <c r="E12" s="32" t="s">
        <v>110</v>
      </c>
      <c r="F12" s="19" t="s">
        <v>185</v>
      </c>
      <c r="G12" s="32" t="s">
        <v>179</v>
      </c>
      <c r="H12" s="19" t="s">
        <v>186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35" customWidth="1"/>
    <col min="4" max="5" width="16" customWidth="1"/>
    <col min="6" max="6" width="18" customWidth="1"/>
    <col min="7" max="7" width="38" customWidth="1"/>
  </cols>
  <sheetData>
    <row r="1" spans="1:7" ht="32.1" customHeight="1" x14ac:dyDescent="0.25">
      <c r="A1" s="52" t="s">
        <v>187</v>
      </c>
      <c r="B1" s="38"/>
      <c r="C1" s="38"/>
      <c r="D1" s="38"/>
      <c r="E1" s="38"/>
      <c r="F1" s="38"/>
      <c r="G1" s="38"/>
    </row>
    <row r="2" spans="1:7" ht="20.100000000000001" customHeight="1" x14ac:dyDescent="0.25">
      <c r="A2" s="51" t="s">
        <v>188</v>
      </c>
      <c r="B2" s="38"/>
      <c r="C2" s="38"/>
      <c r="D2" s="38"/>
      <c r="E2" s="38"/>
      <c r="F2" s="38"/>
      <c r="G2" s="38"/>
    </row>
    <row r="4" spans="1:7" ht="24.95" customHeight="1" x14ac:dyDescent="0.25">
      <c r="A4" s="10" t="s">
        <v>189</v>
      </c>
      <c r="B4" s="9" t="s">
        <v>190</v>
      </c>
      <c r="C4" s="10" t="s">
        <v>191</v>
      </c>
      <c r="D4" s="9" t="s">
        <v>192</v>
      </c>
      <c r="E4" s="9" t="s">
        <v>193</v>
      </c>
      <c r="F4" s="9" t="s">
        <v>194</v>
      </c>
      <c r="G4" s="10" t="s">
        <v>195</v>
      </c>
    </row>
    <row r="5" spans="1:7" ht="48" customHeight="1" x14ac:dyDescent="0.25">
      <c r="A5" s="30" t="s">
        <v>196</v>
      </c>
      <c r="B5" s="3" t="s">
        <v>197</v>
      </c>
      <c r="C5" s="15" t="s">
        <v>198</v>
      </c>
      <c r="D5" s="23" t="s">
        <v>8</v>
      </c>
      <c r="E5" s="23" t="s">
        <v>199</v>
      </c>
      <c r="F5" s="23" t="s">
        <v>200</v>
      </c>
      <c r="G5" s="15" t="s">
        <v>201</v>
      </c>
    </row>
    <row r="6" spans="1:7" ht="48" customHeight="1" x14ac:dyDescent="0.25">
      <c r="A6" s="31" t="s">
        <v>202</v>
      </c>
      <c r="B6" s="32" t="s">
        <v>197</v>
      </c>
      <c r="C6" s="19" t="s">
        <v>203</v>
      </c>
      <c r="D6" s="33" t="s">
        <v>9</v>
      </c>
      <c r="E6" s="33" t="s">
        <v>10</v>
      </c>
      <c r="F6" s="33" t="s">
        <v>204</v>
      </c>
      <c r="G6" s="19" t="s">
        <v>205</v>
      </c>
    </row>
    <row r="7" spans="1:7" ht="48" customHeight="1" x14ac:dyDescent="0.25">
      <c r="A7" s="30" t="s">
        <v>206</v>
      </c>
      <c r="B7" s="3" t="s">
        <v>207</v>
      </c>
      <c r="C7" s="15" t="s">
        <v>208</v>
      </c>
      <c r="D7" s="23" t="s">
        <v>209</v>
      </c>
      <c r="E7" s="23" t="s">
        <v>210</v>
      </c>
      <c r="F7" s="23" t="s">
        <v>11</v>
      </c>
      <c r="G7" s="15" t="s">
        <v>211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DASHBOARD</vt:lpstr>
      <vt:lpstr>DADOS_MENSAL</vt:lpstr>
      <vt:lpstr>ANALISE_CATEGORIAS</vt:lpstr>
      <vt:lpstr>COMPARATIVO_INDICES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2026-10-13T14:20:30Z</dcterms:created>
  <dcterms:modified xsi:type="dcterms:W3CDTF">2026-10-13T14:48:06Z</dcterms:modified>
</cp:coreProperties>
</file>