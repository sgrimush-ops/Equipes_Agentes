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Resumo Executivo" sheetId="1" state="visible" r:id="rId1"/>
    <sheet name="📋 Base NBO Detalhada" sheetId="2" state="visible" r:id="rId2"/>
    <sheet name="📌 Pontos Extras (Detalhamento)" sheetId="3" state="visible" r:id="rId3"/>
    <sheet name="🏬 Análise por Loja" sheetId="4" state="visible" r:id="rId4"/>
    <sheet name="🚨 Ações Imediatas (Críticos)" sheetId="5" state="visible" r:id="rId5"/>
  </sheets>
  <definedNames>
    <definedName name="_xlnm._FilterDatabase" localSheetId="1" hidden="1">'📋 Base NBO Detalhada'!$A$1:$AK$152</definedName>
    <definedName name="_xlnm._FilterDatabase" localSheetId="4" hidden="1">'🚨 Ações Imediatas (Críticos)'!$A$1:$R$11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R$ #,##0.00"/>
    <numFmt numFmtId="165" formatCode="0.0%"/>
    <numFmt numFmtId="166" formatCode="#,##0.0"/>
  </numFmts>
  <fonts count="32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i val="1"/>
      <color rgb="00E2E8F0"/>
      <sz val="10"/>
    </font>
    <font>
      <name val="Segoe UI"/>
      <b val="1"/>
      <color rgb="0064748B"/>
      <sz val="8"/>
    </font>
    <font>
      <name val="Segoe UI"/>
      <b val="1"/>
      <color rgb="000F172A"/>
      <sz val="13"/>
    </font>
    <font>
      <name val="Segoe UI"/>
      <b val="1"/>
      <color rgb="000369A1"/>
      <sz val="13"/>
    </font>
    <font>
      <name val="Segoe UI"/>
      <b val="1"/>
      <color rgb="007E22CE"/>
      <sz val="13"/>
    </font>
    <font>
      <name val="Segoe UI"/>
      <b val="1"/>
      <color rgb="00854D0E"/>
      <sz val="13"/>
    </font>
    <font>
      <name val="Segoe UI"/>
      <b val="1"/>
      <color rgb="00B91C1C"/>
      <sz val="13"/>
    </font>
    <font>
      <name val="Segoe UI"/>
      <b val="1"/>
      <color rgb="004338CA"/>
      <sz val="13"/>
    </font>
    <font>
      <name val="Segoe UI"/>
      <b val="1"/>
      <color rgb="000F172A"/>
      <sz val="11"/>
    </font>
    <font>
      <name val="Segoe UI"/>
      <b val="1"/>
      <color rgb="00FFFFFF"/>
      <sz val="11"/>
    </font>
    <font>
      <name val="Segoe UI"/>
      <b val="1"/>
      <color rgb="00C2410C"/>
      <sz val="10"/>
    </font>
    <font>
      <name val="Segoe UI"/>
      <b val="1"/>
      <sz val="10"/>
    </font>
    <font>
      <name val="Segoe UI"/>
      <sz val="10"/>
    </font>
    <font>
      <name val="Segoe UI"/>
      <i val="1"/>
      <sz val="9"/>
    </font>
    <font>
      <name val="Segoe UI"/>
      <b val="1"/>
      <color rgb="00B91C1C"/>
      <sz val="10"/>
    </font>
    <font>
      <name val="Segoe UI"/>
      <b val="1"/>
      <color rgb="00B45309"/>
      <sz val="10"/>
    </font>
    <font>
      <name val="Segoe UI"/>
      <b val="1"/>
      <color rgb="0015803D"/>
      <sz val="10"/>
    </font>
    <font>
      <name val="Segoe UI"/>
      <b val="1"/>
      <color rgb="004338CA"/>
      <sz val="10"/>
    </font>
    <font>
      <name val="Segoe UI"/>
      <b val="1"/>
      <color rgb="000F172A"/>
      <sz val="10"/>
    </font>
    <font>
      <name val="Segoe UI"/>
      <b val="1"/>
      <color rgb="000369A1"/>
      <sz val="11"/>
    </font>
    <font>
      <name val="Segoe UI"/>
      <b val="1"/>
      <color rgb="00E0F2FE"/>
      <sz val="11"/>
    </font>
    <font>
      <name val="Segoe UI"/>
      <b val="1"/>
      <color rgb="000369A1"/>
      <sz val="9.5"/>
    </font>
    <font>
      <name val="Segoe UI"/>
      <sz val="9"/>
    </font>
    <font>
      <name val="Segoe UI"/>
      <b val="1"/>
      <color rgb="007E22CE"/>
      <sz val="9.5"/>
    </font>
    <font>
      <name val="Segoe UI"/>
      <b val="1"/>
      <color rgb="00FEF08A"/>
      <sz val="11"/>
    </font>
    <font>
      <name val="Segoe UI"/>
      <sz val="9.5"/>
    </font>
    <font>
      <name val="Segoe UI"/>
      <b val="1"/>
      <sz val="9.5"/>
    </font>
    <font>
      <name val="Segoe UI"/>
      <b val="1"/>
      <color rgb="00FEF08A"/>
      <sz val="13"/>
    </font>
    <font>
      <name val="Segoe UI"/>
      <b val="1"/>
      <color rgb="00FFFFFF"/>
      <sz val="10"/>
    </font>
    <font>
      <name val="Segoe UI"/>
      <b val="1"/>
      <color rgb="00FFFFFF"/>
      <sz val="13"/>
    </font>
  </fonts>
  <fills count="19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1E293B"/>
        <bgColor rgb="001E293B"/>
      </patternFill>
    </fill>
    <fill>
      <patternFill patternType="solid">
        <fgColor rgb="00F1F5F9"/>
        <bgColor rgb="00F1F5F9"/>
      </patternFill>
    </fill>
    <fill>
      <patternFill patternType="solid">
        <fgColor rgb="00E0F2FE"/>
        <bgColor rgb="00E0F2FE"/>
      </patternFill>
    </fill>
    <fill>
      <patternFill patternType="solid">
        <fgColor rgb="00F3E8FF"/>
        <bgColor rgb="00F3E8FF"/>
      </patternFill>
    </fill>
    <fill>
      <patternFill patternType="solid">
        <fgColor rgb="00FEF9C3"/>
        <bgColor rgb="00FEF9C3"/>
      </patternFill>
    </fill>
    <fill>
      <patternFill patternType="solid">
        <fgColor rgb="00FEE2E2"/>
        <bgColor rgb="00FEE2E2"/>
      </patternFill>
    </fill>
    <fill>
      <patternFill patternType="solid">
        <fgColor rgb="00E0E7FF"/>
        <bgColor rgb="00E0E7FF"/>
      </patternFill>
    </fill>
    <fill>
      <patternFill patternType="solid">
        <fgColor rgb="00FFEDD5"/>
        <bgColor rgb="00FFEDD5"/>
      </patternFill>
    </fill>
    <fill>
      <patternFill patternType="solid">
        <fgColor rgb="00FEF3C7"/>
        <bgColor rgb="00FEF3C7"/>
      </patternFill>
    </fill>
    <fill>
      <patternFill patternType="solid">
        <fgColor rgb="00DCFCE7"/>
        <bgColor rgb="00DCFCE7"/>
      </patternFill>
    </fill>
    <fill>
      <patternFill patternType="solid">
        <fgColor rgb="00E2E8F0"/>
        <bgColor rgb="00E2E8F0"/>
      </patternFill>
    </fill>
    <fill>
      <patternFill patternType="solid">
        <fgColor rgb="000369A1"/>
        <bgColor rgb="000369A1"/>
      </patternFill>
    </fill>
    <fill>
      <patternFill patternType="solid">
        <fgColor rgb="00854D0E"/>
        <bgColor rgb="00854D0E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334155"/>
        <bgColor rgb="00334155"/>
      </patternFill>
    </fill>
  </fills>
  <borders count="3">
    <border>
      <left/>
      <right/>
      <top/>
      <bottom/>
      <diagonal/>
    </border>
    <border>
      <left style="medium">
        <color rgb="00CBD5E1"/>
      </left>
      <right style="medium">
        <color rgb="00CBD5E1"/>
      </right>
      <top style="medium">
        <color rgb="00CBD5E1"/>
      </top>
      <bottom style="medium">
        <color rgb="00CBD5E1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8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center" vertical="center"/>
    </xf>
    <xf numFmtId="3" fontId="4" fillId="4" borderId="1" applyAlignment="1" pivotButton="0" quotePrefix="0" xfId="0">
      <alignment horizontal="center" vertical="center"/>
    </xf>
    <xf numFmtId="3" fontId="5" fillId="5" borderId="1" applyAlignment="1" pivotButton="0" quotePrefix="0" xfId="0">
      <alignment horizontal="center" vertical="center"/>
    </xf>
    <xf numFmtId="3" fontId="6" fillId="6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3" fontId="8" fillId="8" borderId="1" applyAlignment="1" pivotButton="0" quotePrefix="0" xfId="0">
      <alignment horizontal="center" vertical="center"/>
    </xf>
    <xf numFmtId="3" fontId="9" fillId="9" borderId="1" applyAlignment="1" pivotButton="0" quotePrefix="0" xfId="0">
      <alignment horizontal="center" vertical="center"/>
    </xf>
    <xf numFmtId="0" fontId="10" fillId="0" borderId="0" pivotButton="0" quotePrefix="0" xfId="0"/>
    <xf numFmtId="0" fontId="11" fillId="3" borderId="2" applyAlignment="1" pivotButton="0" quotePrefix="0" xfId="0">
      <alignment horizontal="left" vertical="center"/>
    </xf>
    <xf numFmtId="0" fontId="11" fillId="3" borderId="2" applyAlignment="1" pivotButton="0" quotePrefix="0" xfId="0">
      <alignment horizontal="center" vertical="center"/>
    </xf>
    <xf numFmtId="0" fontId="12" fillId="10" borderId="2" applyAlignment="1" pivotButton="0" quotePrefix="0" xfId="0">
      <alignment horizontal="left" vertical="center"/>
    </xf>
    <xf numFmtId="3" fontId="13" fillId="0" borderId="2" applyAlignment="1" pivotButton="0" quotePrefix="0" xfId="0">
      <alignment horizontal="right" vertical="center"/>
    </xf>
    <xf numFmtId="165" fontId="14" fillId="0" borderId="2" applyAlignment="1" pivotButton="0" quotePrefix="0" xfId="0">
      <alignment horizontal="right" vertical="center"/>
    </xf>
    <xf numFmtId="164" fontId="14" fillId="0" borderId="2" applyAlignment="1" pivotButton="0" quotePrefix="0" xfId="0">
      <alignment horizontal="right" vertical="center"/>
    </xf>
    <xf numFmtId="3" fontId="14" fillId="0" borderId="2" applyAlignment="1" pivotButton="0" quotePrefix="0" xfId="0">
      <alignment horizontal="right" vertical="center"/>
    </xf>
    <xf numFmtId="0" fontId="15" fillId="0" borderId="2" applyAlignment="1" pivotButton="0" quotePrefix="0" xfId="0">
      <alignment horizontal="left" vertical="center"/>
    </xf>
    <xf numFmtId="0" fontId="16" fillId="8" borderId="2" applyAlignment="1" pivotButton="0" quotePrefix="0" xfId="0">
      <alignment horizontal="left" vertical="center"/>
    </xf>
    <xf numFmtId="0" fontId="17" fillId="11" borderId="2" applyAlignment="1" pivotButton="0" quotePrefix="0" xfId="0">
      <alignment horizontal="left" vertical="center"/>
    </xf>
    <xf numFmtId="3" fontId="13" fillId="7" borderId="2" applyAlignment="1" pivotButton="0" quotePrefix="0" xfId="0">
      <alignment horizontal="right" vertical="center"/>
    </xf>
    <xf numFmtId="0" fontId="18" fillId="12" borderId="2" applyAlignment="1" pivotButton="0" quotePrefix="0" xfId="0">
      <alignment horizontal="left" vertical="center"/>
    </xf>
    <xf numFmtId="0" fontId="19" fillId="9" borderId="2" applyAlignment="1" pivotButton="0" quotePrefix="0" xfId="0">
      <alignment horizontal="left" vertical="center"/>
    </xf>
    <xf numFmtId="0" fontId="20" fillId="13" borderId="2" applyAlignment="1" pivotButton="0" quotePrefix="0" xfId="0">
      <alignment horizontal="left" vertical="center"/>
    </xf>
    <xf numFmtId="3" fontId="20" fillId="13" borderId="2" applyAlignment="1" pivotButton="0" quotePrefix="0" xfId="0">
      <alignment horizontal="right" vertical="center"/>
    </xf>
    <xf numFmtId="165" fontId="20" fillId="13" borderId="2" applyAlignment="1" pivotButton="0" quotePrefix="0" xfId="0">
      <alignment horizontal="right" vertical="center"/>
    </xf>
    <xf numFmtId="164" fontId="20" fillId="13" borderId="2" applyAlignment="1" pivotButton="0" quotePrefix="0" xfId="0">
      <alignment horizontal="right" vertical="center"/>
    </xf>
    <xf numFmtId="0" fontId="20" fillId="13" borderId="2" applyAlignment="1" pivotButton="0" quotePrefix="0" xfId="0">
      <alignment horizontal="center" vertical="center"/>
    </xf>
    <xf numFmtId="0" fontId="21" fillId="0" borderId="0" pivotButton="0" quotePrefix="0" xfId="0"/>
    <xf numFmtId="0" fontId="22" fillId="14" borderId="2" applyAlignment="1" pivotButton="0" quotePrefix="0" xfId="0">
      <alignment horizontal="left" vertical="center"/>
    </xf>
    <xf numFmtId="0" fontId="22" fillId="14" borderId="2" applyAlignment="1" pivotButton="0" quotePrefix="0" xfId="0">
      <alignment horizontal="center" vertical="center"/>
    </xf>
    <xf numFmtId="0" fontId="23" fillId="5" borderId="2" applyAlignment="1" pivotButton="0" quotePrefix="0" xfId="0">
      <alignment horizontal="left" vertical="center"/>
    </xf>
    <xf numFmtId="0" fontId="24" fillId="0" borderId="2" applyAlignment="1" pivotButton="0" quotePrefix="0" xfId="0">
      <alignment horizontal="left" vertical="center"/>
    </xf>
    <xf numFmtId="0" fontId="25" fillId="6" borderId="2" applyAlignment="1" pivotButton="0" quotePrefix="0" xfId="0">
      <alignment horizontal="left" vertical="center"/>
    </xf>
    <xf numFmtId="0" fontId="11" fillId="3" borderId="2" applyAlignment="1" pivotButton="0" quotePrefix="0" xfId="0">
      <alignment horizontal="center" vertical="center" wrapText="1"/>
    </xf>
    <xf numFmtId="0" fontId="22" fillId="14" borderId="2" applyAlignment="1" pivotButton="0" quotePrefix="0" xfId="0">
      <alignment horizontal="center" vertical="center" wrapText="1"/>
    </xf>
    <xf numFmtId="0" fontId="26" fillId="15" borderId="2" applyAlignment="1" pivotButton="0" quotePrefix="0" xfId="0">
      <alignment horizontal="center" vertical="center" wrapText="1"/>
    </xf>
    <xf numFmtId="0" fontId="27" fillId="16" borderId="2" applyAlignment="1" pivotButton="0" quotePrefix="0" xfId="0">
      <alignment horizontal="center" vertical="center"/>
    </xf>
    <xf numFmtId="0" fontId="27" fillId="16" borderId="2" applyAlignment="1" pivotButton="0" quotePrefix="0" xfId="0">
      <alignment horizontal="left" vertical="center"/>
    </xf>
    <xf numFmtId="0" fontId="23" fillId="5" borderId="2" applyAlignment="1" pivotButton="0" quotePrefix="0" xfId="0">
      <alignment horizontal="center" vertical="center"/>
    </xf>
    <xf numFmtId="3" fontId="27" fillId="16" borderId="2" applyAlignment="1" pivotButton="0" quotePrefix="0" xfId="0">
      <alignment horizontal="right" vertical="center"/>
    </xf>
    <xf numFmtId="3" fontId="28" fillId="16" borderId="2" applyAlignment="1" pivotButton="0" quotePrefix="0" xfId="0">
      <alignment horizontal="right" vertical="center"/>
    </xf>
    <xf numFmtId="164" fontId="27" fillId="16" borderId="2" applyAlignment="1" pivotButton="0" quotePrefix="0" xfId="0">
      <alignment horizontal="right" vertical="center"/>
    </xf>
    <xf numFmtId="166" fontId="27" fillId="16" borderId="2" applyAlignment="1" pivotButton="0" quotePrefix="0" xfId="0">
      <alignment horizontal="right" vertical="center"/>
    </xf>
    <xf numFmtId="0" fontId="27" fillId="17" borderId="2" applyAlignment="1" pivotButton="0" quotePrefix="0" xfId="0">
      <alignment horizontal="center" vertical="center"/>
    </xf>
    <xf numFmtId="0" fontId="27" fillId="17" borderId="2" applyAlignment="1" pivotButton="0" quotePrefix="0" xfId="0">
      <alignment horizontal="left" vertical="center"/>
    </xf>
    <xf numFmtId="3" fontId="27" fillId="17" borderId="2" applyAlignment="1" pivotButton="0" quotePrefix="0" xfId="0">
      <alignment horizontal="right" vertical="center"/>
    </xf>
    <xf numFmtId="3" fontId="28" fillId="17" borderId="2" applyAlignment="1" pivotButton="0" quotePrefix="0" xfId="0">
      <alignment horizontal="right" vertical="center"/>
    </xf>
    <xf numFmtId="164" fontId="27" fillId="17" borderId="2" applyAlignment="1" pivotButton="0" quotePrefix="0" xfId="0">
      <alignment horizontal="right" vertical="center"/>
    </xf>
    <xf numFmtId="166" fontId="27" fillId="17" borderId="2" applyAlignment="1" pivotButton="0" quotePrefix="0" xfId="0">
      <alignment horizontal="right" vertical="center"/>
    </xf>
    <xf numFmtId="0" fontId="27" fillId="7" borderId="2" applyAlignment="1" pivotButton="0" quotePrefix="0" xfId="0">
      <alignment horizontal="center" vertical="center"/>
    </xf>
    <xf numFmtId="0" fontId="27" fillId="7" borderId="2" applyAlignment="1" pivotButton="0" quotePrefix="0" xfId="0">
      <alignment horizontal="left" vertical="center"/>
    </xf>
    <xf numFmtId="3" fontId="27" fillId="7" borderId="2" applyAlignment="1" pivotButton="0" quotePrefix="0" xfId="0">
      <alignment horizontal="right" vertical="center"/>
    </xf>
    <xf numFmtId="3" fontId="28" fillId="7" borderId="2" applyAlignment="1" pivotButton="0" quotePrefix="0" xfId="0">
      <alignment horizontal="right" vertical="center"/>
    </xf>
    <xf numFmtId="164" fontId="27" fillId="7" borderId="2" applyAlignment="1" pivotButton="0" quotePrefix="0" xfId="0">
      <alignment horizontal="right" vertical="center"/>
    </xf>
    <xf numFmtId="166" fontId="27" fillId="7" borderId="2" applyAlignment="1" pivotButton="0" quotePrefix="0" xfId="0">
      <alignment horizontal="right" vertical="center"/>
    </xf>
    <xf numFmtId="0" fontId="29" fillId="15" borderId="0" applyAlignment="1" pivotButton="0" quotePrefix="0" xfId="0">
      <alignment horizontal="center" vertical="center"/>
    </xf>
    <xf numFmtId="0" fontId="30" fillId="18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center"/>
    </xf>
    <xf numFmtId="0" fontId="0" fillId="0" borderId="2" applyAlignment="1" pivotButton="0" quotePrefix="0" xfId="0">
      <alignment horizontal="left" vertical="center"/>
    </xf>
    <xf numFmtId="0" fontId="13" fillId="7" borderId="2" applyAlignment="1" pivotButton="0" quotePrefix="0" xfId="0">
      <alignment horizontal="center" vertical="center"/>
    </xf>
    <xf numFmtId="3" fontId="0" fillId="0" borderId="2" applyAlignment="1" pivotButton="0" quotePrefix="0" xfId="0">
      <alignment horizontal="right" vertical="center"/>
    </xf>
    <xf numFmtId="0" fontId="17" fillId="11" borderId="2" pivotButton="0" quotePrefix="0" xfId="0"/>
    <xf numFmtId="0" fontId="18" fillId="12" borderId="2" pivotButton="0" quotePrefix="0" xfId="0"/>
    <xf numFmtId="0" fontId="19" fillId="9" borderId="2" pivotButton="0" quotePrefix="0" xfId="0"/>
    <xf numFmtId="0" fontId="31" fillId="3" borderId="0" applyAlignment="1" pivotButton="0" quotePrefix="0" xfId="0">
      <alignment horizontal="center" vertical="center"/>
    </xf>
    <xf numFmtId="49" fontId="13" fillId="17" borderId="2" applyAlignment="1" pivotButton="0" quotePrefix="0" xfId="0">
      <alignment horizontal="center" vertical="center"/>
    </xf>
    <xf numFmtId="3" fontId="23" fillId="5" borderId="2" applyAlignment="1" pivotButton="0" quotePrefix="0" xfId="0">
      <alignment horizontal="right" vertical="center"/>
    </xf>
    <xf numFmtId="3" fontId="18" fillId="12" borderId="2" applyAlignment="1" pivotButton="0" quotePrefix="0" xfId="0">
      <alignment horizontal="right" vertical="center"/>
    </xf>
    <xf numFmtId="3" fontId="19" fillId="9" borderId="2" applyAlignment="1" pivotButton="0" quotePrefix="0" xfId="0">
      <alignment horizontal="right" vertical="center"/>
    </xf>
    <xf numFmtId="165" fontId="27" fillId="17" borderId="2" applyAlignment="1" pivotButton="0" quotePrefix="0" xfId="0">
      <alignment horizontal="right" vertical="center"/>
    </xf>
    <xf numFmtId="3" fontId="13" fillId="17" borderId="2" applyAlignment="1" pivotButton="0" quotePrefix="0" xfId="0">
      <alignment horizontal="right" vertical="center"/>
    </xf>
    <xf numFmtId="49" fontId="13" fillId="16" borderId="2" applyAlignment="1" pivotButton="0" quotePrefix="0" xfId="0">
      <alignment horizontal="center" vertical="center"/>
    </xf>
    <xf numFmtId="3" fontId="17" fillId="11" borderId="2" applyAlignment="1" pivotButton="0" quotePrefix="0" xfId="0">
      <alignment horizontal="right" vertical="center"/>
    </xf>
    <xf numFmtId="165" fontId="27" fillId="16" borderId="2" applyAlignment="1" pivotButton="0" quotePrefix="0" xfId="0">
      <alignment horizontal="right" vertical="center"/>
    </xf>
    <xf numFmtId="3" fontId="13" fillId="16" borderId="2" applyAlignment="1" pivotButton="0" quotePrefix="0" xfId="0">
      <alignment horizontal="right" vertical="center"/>
    </xf>
    <xf numFmtId="3" fontId="16" fillId="8" borderId="2" applyAlignment="1" pivotButton="0" quotePrefix="0" xfId="0">
      <alignment horizontal="right" vertical="center"/>
    </xf>
    <xf numFmtId="3" fontId="12" fillId="10" borderId="2" applyAlignment="1" pivotButton="0" quotePrefix="0" xfId="0">
      <alignment horizontal="right" vertical="center"/>
    </xf>
    <xf numFmtId="0" fontId="26" fillId="15" borderId="2" applyAlignment="1" pivotButton="0" quotePrefix="0" xfId="0">
      <alignment horizontal="center" vertical="center"/>
    </xf>
    <xf numFmtId="0" fontId="12" fillId="10" borderId="2" pivotButton="0" quotePrefix="0" xfId="0"/>
    <xf numFmtId="0" fontId="16" fillId="8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L22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40" customWidth="1" min="3" max="3"/>
    <col width="12" customWidth="1" min="4" max="4"/>
    <col width="14" customWidth="1" min="5" max="5"/>
    <col width="18" customWidth="1" min="6" max="6"/>
    <col width="14" customWidth="1" min="7" max="7"/>
    <col width="14" customWidth="1" min="8" max="8"/>
    <col width="18" customWidth="1" min="9" max="9"/>
    <col width="14" customWidth="1" min="10" max="10"/>
    <col width="14" customWidth="1" min="11" max="11"/>
    <col width="38" customWidth="1" min="12" max="12"/>
  </cols>
  <sheetData>
    <row r="2" ht="36" customHeight="1">
      <c r="B2" s="1" t="inlineStr">
        <is>
          <t>DIAGNÓSTICO EXECUTIVO DE NBO, ABASTECIMENTO (CD vs LOJA DIRETA) E PONTOS EXTRAS</t>
        </is>
      </c>
    </row>
    <row r="3" ht="20" customHeight="1">
      <c r="B3" s="2" t="inlineStr">
        <is>
          <t>Forma de Abastecimento (M = Compra CD / L = Direto Loja DSD), Mín/Máx Padrão + Ponto Extra e Cobertura</t>
        </is>
      </c>
    </row>
    <row r="5" ht="18" customHeight="1">
      <c r="B5" s="3" t="inlineStr">
        <is>
          <t>TOTAL DE ITENS</t>
        </is>
      </c>
      <c r="C5" s="4" t="n"/>
      <c r="D5" s="5" t="inlineStr">
        <is>
          <t>VIA CD (M)</t>
        </is>
      </c>
      <c r="E5" s="6" t="inlineStr">
        <is>
          <t>DIRETO LOJA (L)</t>
        </is>
      </c>
      <c r="F5" s="3" t="inlineStr">
        <is>
          <t>FATURAMENTO 30D</t>
        </is>
      </c>
      <c r="G5" s="4" t="n"/>
      <c r="H5" s="3" t="inlineStr">
        <is>
          <t>ESTOQUE LOJAS</t>
        </is>
      </c>
      <c r="I5" s="7" t="inlineStr">
        <is>
          <t>PONTOS EXTRAS</t>
        </is>
      </c>
      <c r="J5" s="3" t="inlineStr">
        <is>
          <t>SALDO CDs</t>
        </is>
      </c>
      <c r="K5" s="8" t="inlineStr">
        <is>
          <t>ABAIXO MÍNIMO</t>
        </is>
      </c>
      <c r="L5" s="9" t="inlineStr">
        <is>
          <t>EXCESSO (&gt; MÁX)</t>
        </is>
      </c>
    </row>
    <row r="6" ht="28" customHeight="1">
      <c r="B6" s="10" t="n">
        <v>151</v>
      </c>
      <c r="C6" s="4" t="n"/>
      <c r="D6" s="11" t="n">
        <v>151</v>
      </c>
      <c r="E6" s="12" t="n">
        <v>0</v>
      </c>
      <c r="F6" s="13" t="n">
        <v>207411.07</v>
      </c>
      <c r="G6" s="4" t="n"/>
      <c r="H6" s="10" t="n">
        <v>15653</v>
      </c>
      <c r="I6" s="14" t="n">
        <v>14</v>
      </c>
      <c r="J6" s="10" t="n">
        <v>140114</v>
      </c>
      <c r="K6" s="15" t="n">
        <v>22</v>
      </c>
      <c r="L6" s="16" t="n">
        <v>78</v>
      </c>
    </row>
    <row r="9">
      <c r="B9" s="17" t="inlineStr">
        <is>
          <t>1. DISTRIBUIÇÃO CONSOLIDADA POR STATUS DE ABASTECIMENTO</t>
        </is>
      </c>
    </row>
    <row r="10" ht="22" customHeight="1">
      <c r="B10" s="18" t="inlineStr">
        <is>
          <t>Status de Ruptura / Estoque</t>
        </is>
      </c>
      <c r="C10" s="19" t="inlineStr">
        <is>
          <t>Qtd Itens</t>
        </is>
      </c>
      <c r="D10" s="19" t="inlineStr">
        <is>
          <t>% Total</t>
        </is>
      </c>
      <c r="E10" s="19" t="inlineStr">
        <is>
          <t>Venda 30D (R$)</t>
        </is>
      </c>
      <c r="F10" s="19" t="inlineStr">
        <is>
          <t>Estq Loja</t>
        </is>
      </c>
      <c r="G10" s="19" t="inlineStr">
        <is>
          <t>Mín. Padrão</t>
        </is>
      </c>
      <c r="H10" s="19" t="inlineStr">
        <is>
          <t>Mín. P.Extra</t>
        </is>
      </c>
      <c r="I10" s="19" t="inlineStr">
        <is>
          <t>Mín. Total</t>
        </is>
      </c>
      <c r="J10" s="19" t="inlineStr">
        <is>
          <t>Estq CDs</t>
        </is>
      </c>
      <c r="K10" s="18" t="inlineStr">
        <is>
          <t>Regra Operacional</t>
        </is>
      </c>
    </row>
    <row r="11" ht="20" customHeight="1">
      <c r="B11" s="20" t="inlineStr">
        <is>
          <t>4 - ABAIXO DO MINIMO (TEM SALDO NO CD / SEM PEDIDO)</t>
        </is>
      </c>
      <c r="C11" s="21" t="n">
        <v>1</v>
      </c>
      <c r="D11" s="22" t="n">
        <v>0.006622516556291391</v>
      </c>
      <c r="E11" s="23" t="n">
        <v>1399.62</v>
      </c>
      <c r="F11" s="24" t="n">
        <v>5</v>
      </c>
      <c r="G11" s="24" t="n">
        <v>12</v>
      </c>
      <c r="H11" s="24" t="n">
        <v>0</v>
      </c>
      <c r="I11" s="21" t="n">
        <v>12</v>
      </c>
      <c r="J11" s="24" t="n">
        <v>401</v>
      </c>
      <c r="K11" s="25" t="inlineStr">
        <is>
          <t>Transferir do CD para Loja (Abast. M)</t>
        </is>
      </c>
    </row>
    <row r="12" ht="20" customHeight="1">
      <c r="B12" s="26" t="inlineStr">
        <is>
          <t>5 - ABAIXO DO MINIMO (CD ZERADO / SEM PEDIDO COMPRA)</t>
        </is>
      </c>
      <c r="C12" s="21" t="n">
        <v>9</v>
      </c>
      <c r="D12" s="22" t="n">
        <v>0.05960264900662252</v>
      </c>
      <c r="E12" s="23" t="n">
        <v>4669.85</v>
      </c>
      <c r="F12" s="24" t="n">
        <v>276</v>
      </c>
      <c r="G12" s="24" t="n">
        <v>364</v>
      </c>
      <c r="H12" s="24" t="n">
        <v>0</v>
      </c>
      <c r="I12" s="21" t="n">
        <v>364</v>
      </c>
      <c r="J12" s="24" t="n">
        <v>0</v>
      </c>
      <c r="K12" s="25" t="inlineStr">
        <is>
          <t>Emitir Pedido Compra (CD se M / Direto Loja se L)</t>
        </is>
      </c>
    </row>
    <row r="13" ht="20" customHeight="1">
      <c r="B13" s="27" t="inlineStr">
        <is>
          <t>6 - ABAIXO DO MINIMO (COM PEDIDO/TRANSITO A CAMINHO)</t>
        </is>
      </c>
      <c r="C13" s="21" t="n">
        <v>12</v>
      </c>
      <c r="D13" s="22" t="n">
        <v>0.07947019867549669</v>
      </c>
      <c r="E13" s="23" t="n">
        <v>15128.6</v>
      </c>
      <c r="F13" s="24" t="n">
        <v>1297</v>
      </c>
      <c r="G13" s="24" t="n">
        <v>674</v>
      </c>
      <c r="H13" s="28" t="n">
        <v>720</v>
      </c>
      <c r="I13" s="21" t="n">
        <v>1394</v>
      </c>
      <c r="J13" s="24" t="n">
        <v>8070</v>
      </c>
      <c r="K13" s="25" t="inlineStr">
        <is>
          <t>Acompanhar Chegada do Pedido / Trânsito CD</t>
        </is>
      </c>
    </row>
    <row r="14" ht="20" customHeight="1">
      <c r="B14" s="29" t="inlineStr">
        <is>
          <t>8 - REGULAR / NORMAL</t>
        </is>
      </c>
      <c r="C14" s="21" t="n">
        <v>51</v>
      </c>
      <c r="D14" s="22" t="n">
        <v>0.3377483443708609</v>
      </c>
      <c r="E14" s="23" t="n">
        <v>74833.06</v>
      </c>
      <c r="F14" s="24" t="n">
        <v>5513</v>
      </c>
      <c r="G14" s="24" t="n">
        <v>2590</v>
      </c>
      <c r="H14" s="28" t="n">
        <v>1560</v>
      </c>
      <c r="I14" s="21" t="n">
        <v>4150</v>
      </c>
      <c r="J14" s="24" t="n">
        <v>42755</v>
      </c>
      <c r="K14" s="25" t="inlineStr">
        <is>
          <t>Manter Monitoramento Padrão de Reposição</t>
        </is>
      </c>
    </row>
    <row r="15" ht="20" customHeight="1">
      <c r="B15" s="30" t="inlineStr">
        <is>
          <t>9 - EXCESSO DE ESTOQUE (&gt; MAXIMO)</t>
        </is>
      </c>
      <c r="C15" s="21" t="n">
        <v>78</v>
      </c>
      <c r="D15" s="22" t="n">
        <v>0.5165562913907285</v>
      </c>
      <c r="E15" s="23" t="n">
        <v>111379.94</v>
      </c>
      <c r="F15" s="24" t="n">
        <v>8562</v>
      </c>
      <c r="G15" s="24" t="n">
        <v>2652</v>
      </c>
      <c r="H15" s="28" t="n">
        <v>600</v>
      </c>
      <c r="I15" s="21" t="n">
        <v>3252</v>
      </c>
      <c r="J15" s="24" t="n">
        <v>88888</v>
      </c>
      <c r="K15" s="25" t="inlineStr">
        <is>
          <t>Pausar Compras / Remanejar / Promocionar</t>
        </is>
      </c>
    </row>
    <row r="16" ht="22" customHeight="1">
      <c r="B16" s="31" t="inlineStr">
        <is>
          <t>TOTAL GERAL</t>
        </is>
      </c>
      <c r="C16" s="32">
        <f>SUM(C11:C15)</f>
        <v/>
      </c>
      <c r="D16" s="33">
        <f>SUM(D11:D15)</f>
        <v/>
      </c>
      <c r="E16" s="34">
        <f>SUM(E11:E15)</f>
        <v/>
      </c>
      <c r="F16" s="32">
        <f>SUM(F11:F15)</f>
        <v/>
      </c>
      <c r="G16" s="32">
        <f>SUM(G11:G15)</f>
        <v/>
      </c>
      <c r="H16" s="32">
        <f>SUM(H11:H15)</f>
        <v/>
      </c>
      <c r="I16" s="32">
        <f>SUM(I11:I15)</f>
        <v/>
      </c>
      <c r="J16" s="32">
        <f>SUM(J11:J15)</f>
        <v/>
      </c>
      <c r="K16" s="35" t="inlineStr">
        <is>
          <t>-</t>
        </is>
      </c>
    </row>
    <row r="19">
      <c r="B19" s="36" t="inlineStr">
        <is>
          <t>2. CANAL DE SUPRIMENTO: M (VIA CD) vs L (DIRETO LOJA)</t>
        </is>
      </c>
    </row>
    <row r="20" ht="22" customHeight="1">
      <c r="B20" s="37" t="inlineStr">
        <is>
          <t>Forma de Abastecimento</t>
        </is>
      </c>
      <c r="C20" s="37" t="inlineStr">
        <is>
          <t>Significado Operacional</t>
        </is>
      </c>
      <c r="D20" s="38" t="inlineStr">
        <is>
          <t>Qtd SKUs</t>
        </is>
      </c>
      <c r="E20" s="38" t="inlineStr">
        <is>
          <t>% Sortimento</t>
        </is>
      </c>
      <c r="F20" s="37" t="inlineStr">
        <is>
          <t>Venda 30D (R$)</t>
        </is>
      </c>
      <c r="G20" s="37" t="inlineStr">
        <is>
          <t>Estoque Loja</t>
        </is>
      </c>
      <c r="H20" s="37" t="inlineStr">
        <is>
          <t>Estoque CDs</t>
        </is>
      </c>
      <c r="I20" s="37" t="inlineStr">
        <is>
          <t>Impacto no Fluxo de Compra</t>
        </is>
      </c>
    </row>
    <row r="21" ht="24" customHeight="1">
      <c r="B21" s="39" t="inlineStr">
        <is>
          <t>M - Centralizado via CD</t>
        </is>
      </c>
      <c r="C21" s="40" t="inlineStr">
        <is>
          <t>Compra feita para os Centros de Distribuição (CD 15/50), que abastecem as lojas via transferência</t>
        </is>
      </c>
      <c r="D21" s="21" t="n">
        <v>151</v>
      </c>
      <c r="E21" s="22" t="n">
        <v>1</v>
      </c>
      <c r="F21" s="23" t="n">
        <v>207411.07</v>
      </c>
      <c r="G21" s="24" t="n">
        <v>15653</v>
      </c>
      <c r="H21" s="24" t="n">
        <v>140114</v>
      </c>
      <c r="I21" s="25" t="inlineStr">
        <is>
          <t>Demanda monitoramento diário do saldo em CD e emissão de transferência loja.</t>
        </is>
      </c>
    </row>
    <row r="22" ht="24" customHeight="1">
      <c r="B22" s="41" t="inlineStr">
        <is>
          <t>L - Direto na Loja (DSD)</t>
        </is>
      </c>
      <c r="C22" s="40" t="inlineStr">
        <is>
          <t>Compra Direta: O fornecedor entrega diretamente na filial (Não passa nem utiliza estoque do CD)</t>
        </is>
      </c>
      <c r="D22" s="21" t="n">
        <v>0</v>
      </c>
      <c r="E22" s="22" t="n">
        <v>0</v>
      </c>
      <c r="F22" s="23" t="n">
        <v>0</v>
      </c>
      <c r="G22" s="24" t="n">
        <v>0</v>
      </c>
      <c r="H22" s="24" t="n">
        <v>0</v>
      </c>
      <c r="I22" s="25" t="inlineStr">
        <is>
          <t>Pedido emitido direto filial x fornecedor. Saldo em CD não afeta reposição.</t>
        </is>
      </c>
    </row>
  </sheetData>
  <mergeCells count="6">
    <mergeCell ref="B6:C6"/>
    <mergeCell ref="B5:C5"/>
    <mergeCell ref="F5:G5"/>
    <mergeCell ref="B3:L3"/>
    <mergeCell ref="B2:L2"/>
    <mergeCell ref="F6:G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152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4" customWidth="1" min="2" max="2"/>
    <col width="40" customWidth="1" min="3" max="3"/>
    <col width="23" customWidth="1" min="4" max="4"/>
    <col width="17" customWidth="1" min="5" max="5"/>
    <col width="12" customWidth="1" min="6" max="6"/>
    <col width="45" customWidth="1" min="7" max="7"/>
    <col width="22" customWidth="1" min="8" max="8"/>
    <col width="13" customWidth="1" min="9" max="9"/>
    <col width="13" customWidth="1" min="10" max="10"/>
    <col width="17" customWidth="1" min="11" max="11"/>
    <col width="19" customWidth="1" min="12" max="12"/>
    <col width="22" customWidth="1" min="13" max="13"/>
    <col width="18" customWidth="1" min="14" max="14"/>
    <col width="18" customWidth="1" min="15" max="15"/>
    <col width="23" customWidth="1" min="16" max="16"/>
    <col width="23" customWidth="1" min="17" max="17"/>
    <col width="23" customWidth="1" min="18" max="18"/>
    <col width="17" customWidth="1" min="19" max="19"/>
    <col width="17" customWidth="1" min="20" max="20"/>
    <col width="21" customWidth="1" min="21" max="21"/>
    <col width="17" customWidth="1" min="22" max="22"/>
    <col width="17" customWidth="1" min="23" max="23"/>
    <col width="17" customWidth="1" min="24" max="24"/>
    <col width="14" customWidth="1" min="25" max="25"/>
    <col width="16" customWidth="1" min="26" max="26"/>
    <col width="16" customWidth="1" min="27" max="27"/>
    <col width="20" customWidth="1" min="28" max="28"/>
    <col width="20" customWidth="1" min="29" max="29"/>
    <col width="21" customWidth="1" min="30" max="30"/>
    <col width="20" customWidth="1" min="31" max="31"/>
    <col width="22" customWidth="1" min="32" max="32"/>
    <col width="21" customWidth="1" min="33" max="33"/>
    <col width="25" customWidth="1" min="34" max="34"/>
    <col width="45" customWidth="1" min="35" max="35"/>
    <col width="27" customWidth="1" min="36" max="36"/>
    <col width="36" customWidth="1" min="37" max="37"/>
  </cols>
  <sheetData>
    <row r="1" ht="28" customHeight="1">
      <c r="A1" s="42" t="inlineStr">
        <is>
          <t>COD_LOJA</t>
        </is>
      </c>
      <c r="B1" s="42" t="inlineStr">
        <is>
          <t>COD_PRODUTO</t>
        </is>
      </c>
      <c r="C1" s="42" t="inlineStr">
        <is>
          <t>DESCRICAO_PRODUTO</t>
        </is>
      </c>
      <c r="D1" s="42" t="inlineStr">
        <is>
          <t>DEPARTAMENTO</t>
        </is>
      </c>
      <c r="E1" s="42" t="inlineStr">
        <is>
          <t>SECAO</t>
        </is>
      </c>
      <c r="F1" s="42" t="inlineStr">
        <is>
          <t>COMPRADOR</t>
        </is>
      </c>
      <c r="G1" s="42" t="inlineStr">
        <is>
          <t>FORNECEDOR_PRINCIPAL</t>
        </is>
      </c>
      <c r="H1" s="43" t="inlineStr">
        <is>
          <t>FORMA_ABASTECIMENTO</t>
        </is>
      </c>
      <c r="I1" s="42" t="inlineStr">
        <is>
          <t>EMB_COMPRA</t>
        </is>
      </c>
      <c r="J1" s="42" t="inlineStr">
        <is>
          <t>EMB_TRANSF</t>
        </is>
      </c>
      <c r="K1" s="42" t="inlineStr">
        <is>
          <t>ESTQ_DISP_LOJA</t>
        </is>
      </c>
      <c r="L1" s="42" t="inlineStr">
        <is>
          <t>ESTQ_FISICO_LOJA</t>
        </is>
      </c>
      <c r="M1" s="42" t="inlineStr">
        <is>
          <t>ESTQ_RESERVADO_LOJA</t>
        </is>
      </c>
      <c r="N1" s="42" t="inlineStr">
        <is>
          <t>ESTQ_MIN_PADRAO</t>
        </is>
      </c>
      <c r="O1" s="42" t="inlineStr">
        <is>
          <t>ESTQ_MAX_PADRAO</t>
        </is>
      </c>
      <c r="P1" s="44" t="inlineStr">
        <is>
          <t>ESTQ_MIN_PONTO_EXTRA</t>
        </is>
      </c>
      <c r="Q1" s="44" t="inlineStr">
        <is>
          <t>ESTQ_MAX_PONTO_EXTRA</t>
        </is>
      </c>
      <c r="R1" s="44" t="inlineStr">
        <is>
          <t>PONTOS_EXTRAS_ATIVOS</t>
        </is>
      </c>
      <c r="S1" s="44" t="inlineStr">
        <is>
          <t>ESTQ_MIN_TOTAL</t>
        </is>
      </c>
      <c r="T1" s="44" t="inlineStr">
        <is>
          <t>ESTQ_MAX_TOTAL</t>
        </is>
      </c>
      <c r="U1" s="42" t="inlineStr">
        <is>
          <t>ESTQ_DISP_TOTAL_CD</t>
        </is>
      </c>
      <c r="V1" s="42" t="inlineStr">
        <is>
          <t>ESTQ_DISP_CD15</t>
        </is>
      </c>
      <c r="W1" s="42" t="inlineStr">
        <is>
          <t>ESTQ_DISP_CD16</t>
        </is>
      </c>
      <c r="X1" s="42" t="inlineStr">
        <is>
          <t>ESTQ_DISP_CD50</t>
        </is>
      </c>
      <c r="Y1" s="42" t="inlineStr">
        <is>
          <t>VDA_30D_QTD</t>
        </is>
      </c>
      <c r="Z1" s="42" t="inlineStr">
        <is>
          <t>VDA_30D_VALOR</t>
        </is>
      </c>
      <c r="AA1" s="42" t="inlineStr">
        <is>
          <t>MEDIA_VDA_DIA</t>
        </is>
      </c>
      <c r="AB1" s="42" t="inlineStr">
        <is>
          <t>DIAS_ESTOQUE_LOJA</t>
        </is>
      </c>
      <c r="AC1" s="42" t="inlineStr">
        <is>
          <t>DIAS_ESTOQUE_REDE</t>
        </is>
      </c>
      <c r="AD1" s="42" t="inlineStr">
        <is>
          <t>PEND_COMPRA_FORNEC</t>
        </is>
      </c>
      <c r="AE1" s="42" t="inlineStr">
        <is>
          <t>PEND_EXPEDICAO_CD</t>
        </is>
      </c>
      <c r="AF1" s="42" t="inlineStr">
        <is>
          <t>EM_TRANSITO_CD_LOJA</t>
        </is>
      </c>
      <c r="AG1" s="42" t="inlineStr">
        <is>
          <t>TOTAL_PEND_RECEBER</t>
        </is>
      </c>
      <c r="AH1" s="42" t="inlineStr">
        <is>
          <t>DIAS_COB_COM_PENDENTES</t>
        </is>
      </c>
      <c r="AI1" s="42" t="inlineStr">
        <is>
          <t>STATUS_RUPTURA</t>
        </is>
      </c>
      <c r="AJ1" s="43" t="inlineStr">
        <is>
          <t>FORMA_ABASTECIMENTO_DESC</t>
        </is>
      </c>
      <c r="AK1" s="42" t="inlineStr">
        <is>
          <t>STATUS_SIMPLIFICADO</t>
        </is>
      </c>
    </row>
    <row r="2" ht="20" customHeight="1">
      <c r="A2" s="45" t="n">
        <v>13</v>
      </c>
      <c r="B2" s="45" t="n">
        <v>2020</v>
      </c>
      <c r="C2" s="46" t="inlineStr">
        <is>
          <t>CAFE VACUO MELITTA 500G EXTRA FORTE</t>
        </is>
      </c>
      <c r="D2" s="46" t="inlineStr">
        <is>
          <t>MERCEARIA</t>
        </is>
      </c>
      <c r="E2" s="46" t="inlineStr">
        <is>
          <t>MERCEARIA SECA</t>
        </is>
      </c>
      <c r="F2" s="46" t="inlineStr">
        <is>
          <t>WERTER</t>
        </is>
      </c>
      <c r="G2" s="46" t="inlineStr">
        <is>
          <t>10368 - MELITTA DO BRASIL E COMERCIO LTDA.</t>
        </is>
      </c>
      <c r="H2" s="47" t="inlineStr">
        <is>
          <t>M</t>
        </is>
      </c>
      <c r="I2" s="45" t="n">
        <v>20</v>
      </c>
      <c r="J2" s="45" t="n">
        <v>20</v>
      </c>
      <c r="K2" s="48" t="n">
        <v>5</v>
      </c>
      <c r="L2" s="48" t="n">
        <v>5</v>
      </c>
      <c r="M2" s="48" t="n">
        <v>0</v>
      </c>
      <c r="N2" s="48" t="n">
        <v>12</v>
      </c>
      <c r="O2" s="48" t="n">
        <v>32</v>
      </c>
      <c r="P2" s="48" t="n">
        <v>0</v>
      </c>
      <c r="Q2" s="48" t="n">
        <v>0</v>
      </c>
      <c r="R2" s="45" t="n">
        <v>0</v>
      </c>
      <c r="S2" s="49" t="n">
        <v>12</v>
      </c>
      <c r="T2" s="49" t="n">
        <v>32</v>
      </c>
      <c r="U2" s="48" t="n">
        <v>401</v>
      </c>
      <c r="V2" s="48" t="n">
        <v>400</v>
      </c>
      <c r="W2" s="48" t="n">
        <v>0</v>
      </c>
      <c r="X2" s="48" t="n">
        <v>1</v>
      </c>
      <c r="Y2" s="48" t="n">
        <v>50</v>
      </c>
      <c r="Z2" s="50" t="n">
        <v>1399.62</v>
      </c>
      <c r="AA2" s="51" t="n">
        <v>1.67</v>
      </c>
      <c r="AB2" s="51" t="n">
        <v>3</v>
      </c>
      <c r="AC2" s="51" t="n">
        <v>243.1</v>
      </c>
      <c r="AD2" s="48" t="n">
        <v>0</v>
      </c>
      <c r="AE2" s="48" t="n">
        <v>0</v>
      </c>
      <c r="AF2" s="48" t="n">
        <v>0</v>
      </c>
      <c r="AG2" s="48" t="n">
        <v>0</v>
      </c>
      <c r="AH2" s="51" t="n">
        <v>3</v>
      </c>
      <c r="AI2" s="20" t="inlineStr">
        <is>
          <t>4 - ABAIXO DO MINIMO (TEM SALDO NO CD / SEM PEDIDO)</t>
        </is>
      </c>
      <c r="AJ2" s="39" t="inlineStr">
        <is>
          <t>M - Centralizado via CD</t>
        </is>
      </c>
      <c r="AK2" s="20" t="inlineStr">
        <is>
          <t>Abaixo Mín. (Saldo no CD)</t>
        </is>
      </c>
    </row>
    <row r="3" ht="20" customHeight="1">
      <c r="A3" s="52" t="n">
        <v>3</v>
      </c>
      <c r="B3" s="52" t="n">
        <v>853</v>
      </c>
      <c r="C3" s="53" t="inlineStr">
        <is>
          <t>REFRIG FANTA PET 600ML UVA</t>
        </is>
      </c>
      <c r="D3" s="53" t="inlineStr">
        <is>
          <t>BEBIDAS</t>
        </is>
      </c>
      <c r="E3" s="53" t="inlineStr">
        <is>
          <t>BEBIDA</t>
        </is>
      </c>
      <c r="F3" s="53" t="inlineStr">
        <is>
          <t>NICOLAS</t>
        </is>
      </c>
      <c r="G3" s="53" t="inlineStr">
        <is>
          <t>15441 - SPAL IND BRAS BEBIDAS AS</t>
        </is>
      </c>
      <c r="H3" s="47" t="inlineStr">
        <is>
          <t>M</t>
        </is>
      </c>
      <c r="I3" s="52" t="n">
        <v>6</v>
      </c>
      <c r="J3" s="52" t="n">
        <v>6</v>
      </c>
      <c r="K3" s="54" t="n">
        <v>86</v>
      </c>
      <c r="L3" s="54" t="n">
        <v>86</v>
      </c>
      <c r="M3" s="54" t="n">
        <v>0</v>
      </c>
      <c r="N3" s="54" t="n">
        <v>110</v>
      </c>
      <c r="O3" s="54" t="n">
        <v>170</v>
      </c>
      <c r="P3" s="54" t="n">
        <v>0</v>
      </c>
      <c r="Q3" s="54" t="n">
        <v>0</v>
      </c>
      <c r="R3" s="52" t="n">
        <v>0</v>
      </c>
      <c r="S3" s="55" t="n">
        <v>110</v>
      </c>
      <c r="T3" s="55" t="n">
        <v>170</v>
      </c>
      <c r="U3" s="54" t="n">
        <v>0</v>
      </c>
      <c r="V3" s="54" t="n">
        <v>0</v>
      </c>
      <c r="W3" s="54" t="n">
        <v>0</v>
      </c>
      <c r="X3" s="54" t="n">
        <v>0</v>
      </c>
      <c r="Y3" s="54" t="n">
        <v>293</v>
      </c>
      <c r="Z3" s="56" t="n">
        <v>1318.67</v>
      </c>
      <c r="AA3" s="57" t="n">
        <v>9.77</v>
      </c>
      <c r="AB3" s="57" t="n">
        <v>8.800000000000001</v>
      </c>
      <c r="AC3" s="57" t="n">
        <v>8.800000000000001</v>
      </c>
      <c r="AD3" s="54" t="n">
        <v>0</v>
      </c>
      <c r="AE3" s="54" t="n">
        <v>0</v>
      </c>
      <c r="AF3" s="54" t="n">
        <v>0</v>
      </c>
      <c r="AG3" s="54" t="n">
        <v>0</v>
      </c>
      <c r="AH3" s="57" t="n">
        <v>8.800000000000001</v>
      </c>
      <c r="AI3" s="26" t="inlineStr">
        <is>
          <t>5 - ABAIXO DO MINIMO (CD ZERADO / SEM PEDIDO COMPRA)</t>
        </is>
      </c>
      <c r="AJ3" s="39" t="inlineStr">
        <is>
          <t>M - Centralizado via CD</t>
        </is>
      </c>
      <c r="AK3" s="26" t="inlineStr">
        <is>
          <t>Abaixo Mín. (CD Zerado / Comprar)</t>
        </is>
      </c>
    </row>
    <row r="4" ht="20" customHeight="1">
      <c r="A4" s="45" t="n">
        <v>4</v>
      </c>
      <c r="B4" s="45" t="n">
        <v>853</v>
      </c>
      <c r="C4" s="46" t="inlineStr">
        <is>
          <t>REFRIG FANTA PET 600ML UVA</t>
        </is>
      </c>
      <c r="D4" s="46" t="inlineStr">
        <is>
          <t>BEBIDAS</t>
        </is>
      </c>
      <c r="E4" s="46" t="inlineStr">
        <is>
          <t>BEBIDA</t>
        </is>
      </c>
      <c r="F4" s="46" t="inlineStr">
        <is>
          <t>NICOLAS</t>
        </is>
      </c>
      <c r="G4" s="46" t="inlineStr">
        <is>
          <t>15441 - SPAL IND BRAS BEBIDAS AS</t>
        </is>
      </c>
      <c r="H4" s="47" t="inlineStr">
        <is>
          <t>M</t>
        </is>
      </c>
      <c r="I4" s="45" t="n">
        <v>6</v>
      </c>
      <c r="J4" s="45" t="n">
        <v>6</v>
      </c>
      <c r="K4" s="48" t="n">
        <v>54</v>
      </c>
      <c r="L4" s="48" t="n">
        <v>54</v>
      </c>
      <c r="M4" s="48" t="n">
        <v>0</v>
      </c>
      <c r="N4" s="48" t="n">
        <v>58</v>
      </c>
      <c r="O4" s="48" t="n">
        <v>94</v>
      </c>
      <c r="P4" s="48" t="n">
        <v>0</v>
      </c>
      <c r="Q4" s="48" t="n">
        <v>0</v>
      </c>
      <c r="R4" s="45" t="n">
        <v>0</v>
      </c>
      <c r="S4" s="49" t="n">
        <v>58</v>
      </c>
      <c r="T4" s="49" t="n">
        <v>94</v>
      </c>
      <c r="U4" s="48" t="n">
        <v>0</v>
      </c>
      <c r="V4" s="48" t="n">
        <v>0</v>
      </c>
      <c r="W4" s="48" t="n">
        <v>0</v>
      </c>
      <c r="X4" s="48" t="n">
        <v>0</v>
      </c>
      <c r="Y4" s="48" t="n">
        <v>176</v>
      </c>
      <c r="Z4" s="50" t="n">
        <v>816.64</v>
      </c>
      <c r="AA4" s="51" t="n">
        <v>5.87</v>
      </c>
      <c r="AB4" s="51" t="n">
        <v>9.199999999999999</v>
      </c>
      <c r="AC4" s="51" t="n">
        <v>9.199999999999999</v>
      </c>
      <c r="AD4" s="48" t="n">
        <v>0</v>
      </c>
      <c r="AE4" s="48" t="n">
        <v>0</v>
      </c>
      <c r="AF4" s="48" t="n">
        <v>0</v>
      </c>
      <c r="AG4" s="48" t="n">
        <v>0</v>
      </c>
      <c r="AH4" s="51" t="n">
        <v>9.199999999999999</v>
      </c>
      <c r="AI4" s="26" t="inlineStr">
        <is>
          <t>5 - ABAIXO DO MINIMO (CD ZERADO / SEM PEDIDO COMPRA)</t>
        </is>
      </c>
      <c r="AJ4" s="39" t="inlineStr">
        <is>
          <t>M - Centralizado via CD</t>
        </is>
      </c>
      <c r="AK4" s="26" t="inlineStr">
        <is>
          <t>Abaixo Mín. (CD Zerado / Comprar)</t>
        </is>
      </c>
    </row>
    <row r="5" ht="20" customHeight="1">
      <c r="A5" s="52" t="n">
        <v>5</v>
      </c>
      <c r="B5" s="52" t="n">
        <v>853</v>
      </c>
      <c r="C5" s="53" t="inlineStr">
        <is>
          <t>REFRIG FANTA PET 600ML UVA</t>
        </is>
      </c>
      <c r="D5" s="53" t="inlineStr">
        <is>
          <t>BEBIDAS</t>
        </is>
      </c>
      <c r="E5" s="53" t="inlineStr">
        <is>
          <t>BEBIDA</t>
        </is>
      </c>
      <c r="F5" s="53" t="inlineStr">
        <is>
          <t>NICOLAS</t>
        </is>
      </c>
      <c r="G5" s="53" t="inlineStr">
        <is>
          <t>15441 - SPAL IND BRAS BEBIDAS AS</t>
        </is>
      </c>
      <c r="H5" s="47" t="inlineStr">
        <is>
          <t>M</t>
        </is>
      </c>
      <c r="I5" s="52" t="n">
        <v>6</v>
      </c>
      <c r="J5" s="52" t="n">
        <v>6</v>
      </c>
      <c r="K5" s="54" t="n">
        <v>11</v>
      </c>
      <c r="L5" s="54" t="n">
        <v>11</v>
      </c>
      <c r="M5" s="54" t="n">
        <v>0</v>
      </c>
      <c r="N5" s="54" t="n">
        <v>12</v>
      </c>
      <c r="O5" s="54" t="n">
        <v>18</v>
      </c>
      <c r="P5" s="54" t="n">
        <v>0</v>
      </c>
      <c r="Q5" s="54" t="n">
        <v>0</v>
      </c>
      <c r="R5" s="52" t="n">
        <v>0</v>
      </c>
      <c r="S5" s="55" t="n">
        <v>12</v>
      </c>
      <c r="T5" s="55" t="n">
        <v>18</v>
      </c>
      <c r="U5" s="54" t="n">
        <v>0</v>
      </c>
      <c r="V5" s="54" t="n">
        <v>0</v>
      </c>
      <c r="W5" s="54" t="n">
        <v>0</v>
      </c>
      <c r="X5" s="54" t="n">
        <v>0</v>
      </c>
      <c r="Y5" s="54" t="n">
        <v>30</v>
      </c>
      <c r="Z5" s="56" t="n">
        <v>133.3</v>
      </c>
      <c r="AA5" s="57" t="n">
        <v>1</v>
      </c>
      <c r="AB5" s="57" t="n">
        <v>11</v>
      </c>
      <c r="AC5" s="57" t="n">
        <v>11</v>
      </c>
      <c r="AD5" s="54" t="n">
        <v>0</v>
      </c>
      <c r="AE5" s="54" t="n">
        <v>0</v>
      </c>
      <c r="AF5" s="54" t="n">
        <v>0</v>
      </c>
      <c r="AG5" s="54" t="n">
        <v>0</v>
      </c>
      <c r="AH5" s="57" t="n">
        <v>11</v>
      </c>
      <c r="AI5" s="26" t="inlineStr">
        <is>
          <t>5 - ABAIXO DO MINIMO (CD ZERADO / SEM PEDIDO COMPRA)</t>
        </is>
      </c>
      <c r="AJ5" s="39" t="inlineStr">
        <is>
          <t>M - Centralizado via CD</t>
        </is>
      </c>
      <c r="AK5" s="26" t="inlineStr">
        <is>
          <t>Abaixo Mín. (CD Zerado / Comprar)</t>
        </is>
      </c>
    </row>
    <row r="6" ht="20" customHeight="1">
      <c r="A6" s="45" t="n">
        <v>6</v>
      </c>
      <c r="B6" s="45" t="n">
        <v>853</v>
      </c>
      <c r="C6" s="46" t="inlineStr">
        <is>
          <t>REFRIG FANTA PET 600ML UVA</t>
        </is>
      </c>
      <c r="D6" s="46" t="inlineStr">
        <is>
          <t>BEBIDAS</t>
        </is>
      </c>
      <c r="E6" s="46" t="inlineStr">
        <is>
          <t>BEBIDA</t>
        </is>
      </c>
      <c r="F6" s="46" t="inlineStr">
        <is>
          <t>NICOLAS</t>
        </is>
      </c>
      <c r="G6" s="46" t="inlineStr">
        <is>
          <t>15441 - SPAL IND BRAS BEBIDAS AS</t>
        </is>
      </c>
      <c r="H6" s="47" t="inlineStr">
        <is>
          <t>M</t>
        </is>
      </c>
      <c r="I6" s="45" t="n">
        <v>6</v>
      </c>
      <c r="J6" s="45" t="n">
        <v>6</v>
      </c>
      <c r="K6" s="48" t="n">
        <v>18</v>
      </c>
      <c r="L6" s="48" t="n">
        <v>18</v>
      </c>
      <c r="M6" s="48" t="n">
        <v>0</v>
      </c>
      <c r="N6" s="48" t="n">
        <v>30</v>
      </c>
      <c r="O6" s="48" t="n">
        <v>48</v>
      </c>
      <c r="P6" s="48" t="n">
        <v>0</v>
      </c>
      <c r="Q6" s="48" t="n">
        <v>0</v>
      </c>
      <c r="R6" s="45" t="n">
        <v>0</v>
      </c>
      <c r="S6" s="49" t="n">
        <v>30</v>
      </c>
      <c r="T6" s="49" t="n">
        <v>48</v>
      </c>
      <c r="U6" s="48" t="n">
        <v>0</v>
      </c>
      <c r="V6" s="48" t="n">
        <v>0</v>
      </c>
      <c r="W6" s="48" t="n">
        <v>0</v>
      </c>
      <c r="X6" s="48" t="n">
        <v>0</v>
      </c>
      <c r="Y6" s="48" t="n">
        <v>100</v>
      </c>
      <c r="Z6" s="50" t="n">
        <v>443.8</v>
      </c>
      <c r="AA6" s="51" t="n">
        <v>3.33</v>
      </c>
      <c r="AB6" s="51" t="n">
        <v>5.4</v>
      </c>
      <c r="AC6" s="51" t="n">
        <v>5.4</v>
      </c>
      <c r="AD6" s="48" t="n">
        <v>0</v>
      </c>
      <c r="AE6" s="48" t="n">
        <v>0</v>
      </c>
      <c r="AF6" s="48" t="n">
        <v>0</v>
      </c>
      <c r="AG6" s="48" t="n">
        <v>0</v>
      </c>
      <c r="AH6" s="51" t="n">
        <v>5.4</v>
      </c>
      <c r="AI6" s="26" t="inlineStr">
        <is>
          <t>5 - ABAIXO DO MINIMO (CD ZERADO / SEM PEDIDO COMPRA)</t>
        </is>
      </c>
      <c r="AJ6" s="39" t="inlineStr">
        <is>
          <t>M - Centralizado via CD</t>
        </is>
      </c>
      <c r="AK6" s="26" t="inlineStr">
        <is>
          <t>Abaixo Mín. (CD Zerado / Comprar)</t>
        </is>
      </c>
    </row>
    <row r="7" ht="20" customHeight="1">
      <c r="A7" s="52" t="n">
        <v>7</v>
      </c>
      <c r="B7" s="52" t="n">
        <v>853</v>
      </c>
      <c r="C7" s="53" t="inlineStr">
        <is>
          <t>REFRIG FANTA PET 600ML UVA</t>
        </is>
      </c>
      <c r="D7" s="53" t="inlineStr">
        <is>
          <t>BEBIDAS</t>
        </is>
      </c>
      <c r="E7" s="53" t="inlineStr">
        <is>
          <t>BEBIDA</t>
        </is>
      </c>
      <c r="F7" s="53" t="inlineStr">
        <is>
          <t>NICOLAS</t>
        </is>
      </c>
      <c r="G7" s="53" t="inlineStr">
        <is>
          <t>15441 - SPAL IND BRAS BEBIDAS AS</t>
        </is>
      </c>
      <c r="H7" s="47" t="inlineStr">
        <is>
          <t>M</t>
        </is>
      </c>
      <c r="I7" s="52" t="n">
        <v>6</v>
      </c>
      <c r="J7" s="52" t="n">
        <v>6</v>
      </c>
      <c r="K7" s="54" t="n">
        <v>27</v>
      </c>
      <c r="L7" s="54" t="n">
        <v>27</v>
      </c>
      <c r="M7" s="54" t="n">
        <v>0</v>
      </c>
      <c r="N7" s="54" t="n">
        <v>28</v>
      </c>
      <c r="O7" s="54" t="n">
        <v>46</v>
      </c>
      <c r="P7" s="54" t="n">
        <v>0</v>
      </c>
      <c r="Q7" s="54" t="n">
        <v>0</v>
      </c>
      <c r="R7" s="52" t="n">
        <v>0</v>
      </c>
      <c r="S7" s="55" t="n">
        <v>28</v>
      </c>
      <c r="T7" s="55" t="n">
        <v>46</v>
      </c>
      <c r="U7" s="54" t="n">
        <v>0</v>
      </c>
      <c r="V7" s="54" t="n">
        <v>0</v>
      </c>
      <c r="W7" s="54" t="n">
        <v>0</v>
      </c>
      <c r="X7" s="54" t="n">
        <v>0</v>
      </c>
      <c r="Y7" s="54" t="n">
        <v>87</v>
      </c>
      <c r="Z7" s="56" t="n">
        <v>398.33</v>
      </c>
      <c r="AA7" s="57" t="n">
        <v>2.9</v>
      </c>
      <c r="AB7" s="57" t="n">
        <v>9.300000000000001</v>
      </c>
      <c r="AC7" s="57" t="n">
        <v>9.300000000000001</v>
      </c>
      <c r="AD7" s="54" t="n">
        <v>0</v>
      </c>
      <c r="AE7" s="54" t="n">
        <v>0</v>
      </c>
      <c r="AF7" s="54" t="n">
        <v>0</v>
      </c>
      <c r="AG7" s="54" t="n">
        <v>0</v>
      </c>
      <c r="AH7" s="57" t="n">
        <v>9.300000000000001</v>
      </c>
      <c r="AI7" s="26" t="inlineStr">
        <is>
          <t>5 - ABAIXO DO MINIMO (CD ZERADO / SEM PEDIDO COMPRA)</t>
        </is>
      </c>
      <c r="AJ7" s="39" t="inlineStr">
        <is>
          <t>M - Centralizado via CD</t>
        </is>
      </c>
      <c r="AK7" s="26" t="inlineStr">
        <is>
          <t>Abaixo Mín. (CD Zerado / Comprar)</t>
        </is>
      </c>
    </row>
    <row r="8" ht="20" customHeight="1">
      <c r="A8" s="45" t="n">
        <v>8</v>
      </c>
      <c r="B8" s="45" t="n">
        <v>853</v>
      </c>
      <c r="C8" s="46" t="inlineStr">
        <is>
          <t>REFRIG FANTA PET 600ML UVA</t>
        </is>
      </c>
      <c r="D8" s="46" t="inlineStr">
        <is>
          <t>BEBIDAS</t>
        </is>
      </c>
      <c r="E8" s="46" t="inlineStr">
        <is>
          <t>BEBIDA</t>
        </is>
      </c>
      <c r="F8" s="46" t="inlineStr">
        <is>
          <t>NICOLAS</t>
        </is>
      </c>
      <c r="G8" s="46" t="inlineStr">
        <is>
          <t>15441 - SPAL IND BRAS BEBIDAS AS</t>
        </is>
      </c>
      <c r="H8" s="47" t="inlineStr">
        <is>
          <t>M</t>
        </is>
      </c>
      <c r="I8" s="45" t="n">
        <v>6</v>
      </c>
      <c r="J8" s="45" t="n">
        <v>6</v>
      </c>
      <c r="K8" s="48" t="n">
        <v>17</v>
      </c>
      <c r="L8" s="48" t="n">
        <v>17</v>
      </c>
      <c r="M8" s="48" t="n">
        <v>0</v>
      </c>
      <c r="N8" s="48" t="n">
        <v>18</v>
      </c>
      <c r="O8" s="48" t="n">
        <v>30</v>
      </c>
      <c r="P8" s="48" t="n">
        <v>0</v>
      </c>
      <c r="Q8" s="48" t="n">
        <v>0</v>
      </c>
      <c r="R8" s="45" t="n">
        <v>0</v>
      </c>
      <c r="S8" s="49" t="n">
        <v>18</v>
      </c>
      <c r="T8" s="49" t="n">
        <v>30</v>
      </c>
      <c r="U8" s="48" t="n">
        <v>0</v>
      </c>
      <c r="V8" s="48" t="n">
        <v>0</v>
      </c>
      <c r="W8" s="48" t="n">
        <v>0</v>
      </c>
      <c r="X8" s="48" t="n">
        <v>0</v>
      </c>
      <c r="Y8" s="48" t="n">
        <v>49</v>
      </c>
      <c r="Z8" s="50" t="n">
        <v>221.91</v>
      </c>
      <c r="AA8" s="51" t="n">
        <v>1.63</v>
      </c>
      <c r="AB8" s="51" t="n">
        <v>10.4</v>
      </c>
      <c r="AC8" s="51" t="n">
        <v>10.4</v>
      </c>
      <c r="AD8" s="48" t="n">
        <v>0</v>
      </c>
      <c r="AE8" s="48" t="n">
        <v>0</v>
      </c>
      <c r="AF8" s="48" t="n">
        <v>0</v>
      </c>
      <c r="AG8" s="48" t="n">
        <v>0</v>
      </c>
      <c r="AH8" s="51" t="n">
        <v>10.4</v>
      </c>
      <c r="AI8" s="26" t="inlineStr">
        <is>
          <t>5 - ABAIXO DO MINIMO (CD ZERADO / SEM PEDIDO COMPRA)</t>
        </is>
      </c>
      <c r="AJ8" s="39" t="inlineStr">
        <is>
          <t>M - Centralizado via CD</t>
        </is>
      </c>
      <c r="AK8" s="26" t="inlineStr">
        <is>
          <t>Abaixo Mín. (CD Zerado / Comprar)</t>
        </is>
      </c>
    </row>
    <row r="9" ht="20" customHeight="1">
      <c r="A9" s="52" t="n">
        <v>11</v>
      </c>
      <c r="B9" s="52" t="n">
        <v>853</v>
      </c>
      <c r="C9" s="53" t="inlineStr">
        <is>
          <t>REFRIG FANTA PET 600ML UVA</t>
        </is>
      </c>
      <c r="D9" s="53" t="inlineStr">
        <is>
          <t>BEBIDAS</t>
        </is>
      </c>
      <c r="E9" s="53" t="inlineStr">
        <is>
          <t>BEBIDA</t>
        </is>
      </c>
      <c r="F9" s="53" t="inlineStr">
        <is>
          <t>NICOLAS</t>
        </is>
      </c>
      <c r="G9" s="53" t="inlineStr">
        <is>
          <t>15441 - SPAL IND BRAS BEBIDAS AS</t>
        </is>
      </c>
      <c r="H9" s="47" t="inlineStr">
        <is>
          <t>M</t>
        </is>
      </c>
      <c r="I9" s="52" t="n">
        <v>6</v>
      </c>
      <c r="J9" s="52" t="n">
        <v>6</v>
      </c>
      <c r="K9" s="54" t="n">
        <v>8</v>
      </c>
      <c r="L9" s="54" t="n">
        <v>8</v>
      </c>
      <c r="M9" s="54" t="n">
        <v>0</v>
      </c>
      <c r="N9" s="54" t="n">
        <v>28</v>
      </c>
      <c r="O9" s="54" t="n">
        <v>46</v>
      </c>
      <c r="P9" s="54" t="n">
        <v>0</v>
      </c>
      <c r="Q9" s="54" t="n">
        <v>0</v>
      </c>
      <c r="R9" s="52" t="n">
        <v>0</v>
      </c>
      <c r="S9" s="55" t="n">
        <v>28</v>
      </c>
      <c r="T9" s="55" t="n">
        <v>46</v>
      </c>
      <c r="U9" s="54" t="n">
        <v>0</v>
      </c>
      <c r="V9" s="54" t="n">
        <v>0</v>
      </c>
      <c r="W9" s="54" t="n">
        <v>0</v>
      </c>
      <c r="X9" s="54" t="n">
        <v>0</v>
      </c>
      <c r="Y9" s="54" t="n">
        <v>88</v>
      </c>
      <c r="Z9" s="56" t="n">
        <v>404.12</v>
      </c>
      <c r="AA9" s="57" t="n">
        <v>2.93</v>
      </c>
      <c r="AB9" s="57" t="n">
        <v>2.7</v>
      </c>
      <c r="AC9" s="57" t="n">
        <v>2.7</v>
      </c>
      <c r="AD9" s="54" t="n">
        <v>0</v>
      </c>
      <c r="AE9" s="54" t="n">
        <v>0</v>
      </c>
      <c r="AF9" s="54" t="n">
        <v>0</v>
      </c>
      <c r="AG9" s="54" t="n">
        <v>0</v>
      </c>
      <c r="AH9" s="57" t="n">
        <v>2.7</v>
      </c>
      <c r="AI9" s="26" t="inlineStr">
        <is>
          <t>5 - ABAIXO DO MINIMO (CD ZERADO / SEM PEDIDO COMPRA)</t>
        </is>
      </c>
      <c r="AJ9" s="39" t="inlineStr">
        <is>
          <t>M - Centralizado via CD</t>
        </is>
      </c>
      <c r="AK9" s="26" t="inlineStr">
        <is>
          <t>Abaixo Mín. (CD Zerado / Comprar)</t>
        </is>
      </c>
    </row>
    <row r="10" ht="20" customHeight="1">
      <c r="A10" s="45" t="n">
        <v>12</v>
      </c>
      <c r="B10" s="45" t="n">
        <v>853</v>
      </c>
      <c r="C10" s="46" t="inlineStr">
        <is>
          <t>REFRIG FANTA PET 600ML UVA</t>
        </is>
      </c>
      <c r="D10" s="46" t="inlineStr">
        <is>
          <t>BEBIDAS</t>
        </is>
      </c>
      <c r="E10" s="46" t="inlineStr">
        <is>
          <t>BEBIDA</t>
        </is>
      </c>
      <c r="F10" s="46" t="inlineStr">
        <is>
          <t>NICOLAS</t>
        </is>
      </c>
      <c r="G10" s="46" t="inlineStr">
        <is>
          <t>15441 - SPAL IND BRAS BEBIDAS AS</t>
        </is>
      </c>
      <c r="H10" s="47" t="inlineStr">
        <is>
          <t>M</t>
        </is>
      </c>
      <c r="I10" s="45" t="n">
        <v>6</v>
      </c>
      <c r="J10" s="45" t="n">
        <v>6</v>
      </c>
      <c r="K10" s="48" t="n">
        <v>43</v>
      </c>
      <c r="L10" s="48" t="n">
        <v>43</v>
      </c>
      <c r="M10" s="48" t="n">
        <v>0</v>
      </c>
      <c r="N10" s="48" t="n">
        <v>64</v>
      </c>
      <c r="O10" s="48" t="n">
        <v>100</v>
      </c>
      <c r="P10" s="48" t="n">
        <v>0</v>
      </c>
      <c r="Q10" s="48" t="n">
        <v>0</v>
      </c>
      <c r="R10" s="45" t="n">
        <v>0</v>
      </c>
      <c r="S10" s="49" t="n">
        <v>64</v>
      </c>
      <c r="T10" s="49" t="n">
        <v>100</v>
      </c>
      <c r="U10" s="48" t="n">
        <v>0</v>
      </c>
      <c r="V10" s="48" t="n">
        <v>0</v>
      </c>
      <c r="W10" s="48" t="n">
        <v>0</v>
      </c>
      <c r="X10" s="48" t="n">
        <v>0</v>
      </c>
      <c r="Y10" s="48" t="n">
        <v>202</v>
      </c>
      <c r="Z10" s="50" t="n">
        <v>890.78</v>
      </c>
      <c r="AA10" s="51" t="n">
        <v>6.73</v>
      </c>
      <c r="AB10" s="51" t="n">
        <v>6.4</v>
      </c>
      <c r="AC10" s="51" t="n">
        <v>6.4</v>
      </c>
      <c r="AD10" s="48" t="n">
        <v>0</v>
      </c>
      <c r="AE10" s="48" t="n">
        <v>0</v>
      </c>
      <c r="AF10" s="48" t="n">
        <v>0</v>
      </c>
      <c r="AG10" s="48" t="n">
        <v>0</v>
      </c>
      <c r="AH10" s="51" t="n">
        <v>6.4</v>
      </c>
      <c r="AI10" s="26" t="inlineStr">
        <is>
          <t>5 - ABAIXO DO MINIMO (CD ZERADO / SEM PEDIDO COMPRA)</t>
        </is>
      </c>
      <c r="AJ10" s="39" t="inlineStr">
        <is>
          <t>M - Centralizado via CD</t>
        </is>
      </c>
      <c r="AK10" s="26" t="inlineStr">
        <is>
          <t>Abaixo Mín. (CD Zerado / Comprar)</t>
        </is>
      </c>
    </row>
    <row r="11" ht="20" customHeight="1">
      <c r="A11" s="52" t="n">
        <v>13</v>
      </c>
      <c r="B11" s="52" t="n">
        <v>853</v>
      </c>
      <c r="C11" s="53" t="inlineStr">
        <is>
          <t>REFRIG FANTA PET 600ML UVA</t>
        </is>
      </c>
      <c r="D11" s="53" t="inlineStr">
        <is>
          <t>BEBIDAS</t>
        </is>
      </c>
      <c r="E11" s="53" t="inlineStr">
        <is>
          <t>BEBIDA</t>
        </is>
      </c>
      <c r="F11" s="53" t="inlineStr">
        <is>
          <t>NICOLAS</t>
        </is>
      </c>
      <c r="G11" s="53" t="inlineStr">
        <is>
          <t>15441 - SPAL IND BRAS BEBIDAS AS</t>
        </is>
      </c>
      <c r="H11" s="47" t="inlineStr">
        <is>
          <t>M</t>
        </is>
      </c>
      <c r="I11" s="52" t="n">
        <v>6</v>
      </c>
      <c r="J11" s="52" t="n">
        <v>6</v>
      </c>
      <c r="K11" s="54" t="n">
        <v>12</v>
      </c>
      <c r="L11" s="54" t="n">
        <v>12</v>
      </c>
      <c r="M11" s="54" t="n">
        <v>0</v>
      </c>
      <c r="N11" s="54" t="n">
        <v>16</v>
      </c>
      <c r="O11" s="54" t="n">
        <v>28</v>
      </c>
      <c r="P11" s="54" t="n">
        <v>0</v>
      </c>
      <c r="Q11" s="54" t="n">
        <v>0</v>
      </c>
      <c r="R11" s="52" t="n">
        <v>0</v>
      </c>
      <c r="S11" s="55" t="n">
        <v>16</v>
      </c>
      <c r="T11" s="55" t="n">
        <v>28</v>
      </c>
      <c r="U11" s="54" t="n">
        <v>0</v>
      </c>
      <c r="V11" s="54" t="n">
        <v>0</v>
      </c>
      <c r="W11" s="54" t="n">
        <v>0</v>
      </c>
      <c r="X11" s="54" t="n">
        <v>0</v>
      </c>
      <c r="Y11" s="54" t="n">
        <v>10</v>
      </c>
      <c r="Z11" s="56" t="n">
        <v>42.3</v>
      </c>
      <c r="AA11" s="57" t="n">
        <v>0.33</v>
      </c>
      <c r="AB11" s="57" t="n">
        <v>36.4</v>
      </c>
      <c r="AC11" s="57" t="n">
        <v>36.4</v>
      </c>
      <c r="AD11" s="54" t="n">
        <v>0</v>
      </c>
      <c r="AE11" s="54" t="n">
        <v>0</v>
      </c>
      <c r="AF11" s="54" t="n">
        <v>0</v>
      </c>
      <c r="AG11" s="54" t="n">
        <v>0</v>
      </c>
      <c r="AH11" s="57" t="n">
        <v>36.4</v>
      </c>
      <c r="AI11" s="26" t="inlineStr">
        <is>
          <t>5 - ABAIXO DO MINIMO (CD ZERADO / SEM PEDIDO COMPRA)</t>
        </is>
      </c>
      <c r="AJ11" s="39" t="inlineStr">
        <is>
          <t>M - Centralizado via CD</t>
        </is>
      </c>
      <c r="AK11" s="26" t="inlineStr">
        <is>
          <t>Abaixo Mín. (CD Zerado / Comprar)</t>
        </is>
      </c>
    </row>
    <row r="12" ht="20" customHeight="1">
      <c r="A12" s="45" t="n">
        <v>2</v>
      </c>
      <c r="B12" s="45" t="n">
        <v>853</v>
      </c>
      <c r="C12" s="46" t="inlineStr">
        <is>
          <t>REFRIG FANTA PET 600ML UVA</t>
        </is>
      </c>
      <c r="D12" s="46" t="inlineStr">
        <is>
          <t>BEBIDAS</t>
        </is>
      </c>
      <c r="E12" s="46" t="inlineStr">
        <is>
          <t>BEBIDA</t>
        </is>
      </c>
      <c r="F12" s="46" t="inlineStr">
        <is>
          <t>NICOLAS</t>
        </is>
      </c>
      <c r="G12" s="46" t="inlineStr">
        <is>
          <t>15441 - SPAL IND BRAS BEBIDAS AS</t>
        </is>
      </c>
      <c r="H12" s="47" t="inlineStr">
        <is>
          <t>M</t>
        </is>
      </c>
      <c r="I12" s="45" t="n">
        <v>6</v>
      </c>
      <c r="J12" s="45" t="n">
        <v>6</v>
      </c>
      <c r="K12" s="48" t="n">
        <v>23</v>
      </c>
      <c r="L12" s="48" t="n">
        <v>23</v>
      </c>
      <c r="M12" s="48" t="n">
        <v>0</v>
      </c>
      <c r="N12" s="48" t="n">
        <v>34</v>
      </c>
      <c r="O12" s="48" t="n">
        <v>58</v>
      </c>
      <c r="P12" s="48" t="n">
        <v>0</v>
      </c>
      <c r="Q12" s="48" t="n">
        <v>0</v>
      </c>
      <c r="R12" s="45" t="n">
        <v>0</v>
      </c>
      <c r="S12" s="49" t="n">
        <v>34</v>
      </c>
      <c r="T12" s="49" t="n">
        <v>58</v>
      </c>
      <c r="U12" s="48" t="n">
        <v>0</v>
      </c>
      <c r="V12" s="48" t="n">
        <v>0</v>
      </c>
      <c r="W12" s="48" t="n">
        <v>0</v>
      </c>
      <c r="X12" s="48" t="n">
        <v>0</v>
      </c>
      <c r="Y12" s="48" t="n">
        <v>91</v>
      </c>
      <c r="Z12" s="50" t="n">
        <v>415.89</v>
      </c>
      <c r="AA12" s="51" t="n">
        <v>3.03</v>
      </c>
      <c r="AB12" s="51" t="n">
        <v>7.6</v>
      </c>
      <c r="AC12" s="51" t="n">
        <v>7.6</v>
      </c>
      <c r="AD12" s="48" t="n">
        <v>30</v>
      </c>
      <c r="AE12" s="48" t="n">
        <v>0</v>
      </c>
      <c r="AF12" s="48" t="n">
        <v>0</v>
      </c>
      <c r="AG12" s="48" t="n">
        <v>30</v>
      </c>
      <c r="AH12" s="51" t="n">
        <v>17.5</v>
      </c>
      <c r="AI12" s="27" t="inlineStr">
        <is>
          <t>6 - ABAIXO DO MINIMO (COM PEDIDO/TRANSITO A CAMINHO)</t>
        </is>
      </c>
      <c r="AJ12" s="39" t="inlineStr">
        <is>
          <t>M - Centralizado via CD</t>
        </is>
      </c>
      <c r="AK12" s="27" t="inlineStr">
        <is>
          <t>Abaixo Mín. (A Caminho / Pedido)</t>
        </is>
      </c>
    </row>
    <row r="13" ht="20" customHeight="1">
      <c r="A13" s="58" t="n">
        <v>2</v>
      </c>
      <c r="B13" s="58" t="n">
        <v>2799</v>
      </c>
      <c r="C13" s="59" t="inlineStr">
        <is>
          <t>FAROFA MANDIOCA YOKI 400G TRADICIONAL</t>
        </is>
      </c>
      <c r="D13" s="59" t="inlineStr">
        <is>
          <t>MERCEARIA</t>
        </is>
      </c>
      <c r="E13" s="59" t="inlineStr">
        <is>
          <t>MERCEARIA SECA</t>
        </is>
      </c>
      <c r="F13" s="59" t="inlineStr">
        <is>
          <t>NIDAL</t>
        </is>
      </c>
      <c r="G13" s="59" t="inlineStr">
        <is>
          <t>3527 - FABIANO ZAFFALON E CIA LTDA</t>
        </is>
      </c>
      <c r="H13" s="47" t="inlineStr">
        <is>
          <t>M</t>
        </is>
      </c>
      <c r="I13" s="58" t="n">
        <v>24</v>
      </c>
      <c r="J13" s="58" t="n">
        <v>24</v>
      </c>
      <c r="K13" s="60" t="n">
        <v>337</v>
      </c>
      <c r="L13" s="60" t="n">
        <v>337</v>
      </c>
      <c r="M13" s="60" t="n">
        <v>0</v>
      </c>
      <c r="N13" s="60" t="n">
        <v>102</v>
      </c>
      <c r="O13" s="60" t="n">
        <v>150</v>
      </c>
      <c r="P13" s="60" t="n">
        <v>240</v>
      </c>
      <c r="Q13" s="60" t="n">
        <v>360</v>
      </c>
      <c r="R13" s="58" t="n">
        <v>1</v>
      </c>
      <c r="S13" s="61" t="n">
        <v>342</v>
      </c>
      <c r="T13" s="61" t="n">
        <v>510</v>
      </c>
      <c r="U13" s="60" t="n">
        <v>576</v>
      </c>
      <c r="V13" s="60" t="n">
        <v>576</v>
      </c>
      <c r="W13" s="60" t="n">
        <v>0</v>
      </c>
      <c r="X13" s="60" t="n">
        <v>0</v>
      </c>
      <c r="Y13" s="60" t="n">
        <v>167</v>
      </c>
      <c r="Z13" s="62" t="n">
        <v>1351.23</v>
      </c>
      <c r="AA13" s="63" t="n">
        <v>5.57</v>
      </c>
      <c r="AB13" s="63" t="n">
        <v>60.5</v>
      </c>
      <c r="AC13" s="63" t="n">
        <v>163.9</v>
      </c>
      <c r="AD13" s="60" t="n">
        <v>0</v>
      </c>
      <c r="AE13" s="60" t="n">
        <v>168</v>
      </c>
      <c r="AF13" s="60" t="n">
        <v>0</v>
      </c>
      <c r="AG13" s="60" t="n">
        <v>168</v>
      </c>
      <c r="AH13" s="63" t="n">
        <v>90.7</v>
      </c>
      <c r="AI13" s="27" t="inlineStr">
        <is>
          <t>6 - ABAIXO DO MINIMO (COM PEDIDO/TRANSITO A CAMINHO)</t>
        </is>
      </c>
      <c r="AJ13" s="39" t="inlineStr">
        <is>
          <t>M - Centralizado via CD</t>
        </is>
      </c>
      <c r="AK13" s="27" t="inlineStr">
        <is>
          <t>Abaixo Mín. (A Caminho / Pedido)</t>
        </is>
      </c>
    </row>
    <row r="14" ht="20" customHeight="1">
      <c r="A14" s="45" t="n">
        <v>6</v>
      </c>
      <c r="B14" s="45" t="n">
        <v>899</v>
      </c>
      <c r="C14" s="46" t="inlineStr">
        <is>
          <t>REFRIG FANTA UVA LT 350ML</t>
        </is>
      </c>
      <c r="D14" s="46" t="inlineStr">
        <is>
          <t>BEBIDAS</t>
        </is>
      </c>
      <c r="E14" s="46" t="inlineStr">
        <is>
          <t>BEBIDA</t>
        </is>
      </c>
      <c r="F14" s="46" t="inlineStr">
        <is>
          <t>NICOLAS</t>
        </is>
      </c>
      <c r="G14" s="46" t="inlineStr">
        <is>
          <t>15441 - SPAL IND BRAS BEBIDAS AS</t>
        </is>
      </c>
      <c r="H14" s="47" t="inlineStr">
        <is>
          <t>M</t>
        </is>
      </c>
      <c r="I14" s="45" t="n">
        <v>6</v>
      </c>
      <c r="J14" s="45" t="n">
        <v>6</v>
      </c>
      <c r="K14" s="48" t="n">
        <v>31</v>
      </c>
      <c r="L14" s="48" t="n">
        <v>31</v>
      </c>
      <c r="M14" s="48" t="n">
        <v>0</v>
      </c>
      <c r="N14" s="48" t="n">
        <v>34</v>
      </c>
      <c r="O14" s="48" t="n">
        <v>52</v>
      </c>
      <c r="P14" s="48" t="n">
        <v>0</v>
      </c>
      <c r="Q14" s="48" t="n">
        <v>0</v>
      </c>
      <c r="R14" s="45" t="n">
        <v>0</v>
      </c>
      <c r="S14" s="49" t="n">
        <v>34</v>
      </c>
      <c r="T14" s="49" t="n">
        <v>52</v>
      </c>
      <c r="U14" s="48" t="n">
        <v>74</v>
      </c>
      <c r="V14" s="48" t="n">
        <v>74</v>
      </c>
      <c r="W14" s="48" t="n">
        <v>0</v>
      </c>
      <c r="X14" s="48" t="n">
        <v>0</v>
      </c>
      <c r="Y14" s="48" t="n">
        <v>108</v>
      </c>
      <c r="Z14" s="50" t="n">
        <v>369.42</v>
      </c>
      <c r="AA14" s="51" t="n">
        <v>3.6</v>
      </c>
      <c r="AB14" s="51" t="n">
        <v>8.6</v>
      </c>
      <c r="AC14" s="51" t="n">
        <v>29.2</v>
      </c>
      <c r="AD14" s="48" t="n">
        <v>0</v>
      </c>
      <c r="AE14" s="48" t="n">
        <v>60</v>
      </c>
      <c r="AF14" s="48" t="n">
        <v>0</v>
      </c>
      <c r="AG14" s="48" t="n">
        <v>60</v>
      </c>
      <c r="AH14" s="51" t="n">
        <v>25.3</v>
      </c>
      <c r="AI14" s="27" t="inlineStr">
        <is>
          <t>6 - ABAIXO DO MINIMO (COM PEDIDO/TRANSITO A CAMINHO)</t>
        </is>
      </c>
      <c r="AJ14" s="39" t="inlineStr">
        <is>
          <t>M - Centralizado via CD</t>
        </is>
      </c>
      <c r="AK14" s="27" t="inlineStr">
        <is>
          <t>Abaixo Mín. (A Caminho / Pedido)</t>
        </is>
      </c>
    </row>
    <row r="15" ht="20" customHeight="1">
      <c r="A15" s="52" t="n">
        <v>7</v>
      </c>
      <c r="B15" s="52" t="n">
        <v>17315</v>
      </c>
      <c r="C15" s="53" t="inlineStr">
        <is>
          <t>DESOD ROLLON REXONA 50ML V8</t>
        </is>
      </c>
      <c r="D15" s="53" t="inlineStr">
        <is>
          <t>PERFUMARIA E LIMPEZA</t>
        </is>
      </c>
      <c r="E15" s="53" t="inlineStr">
        <is>
          <t>PERFUMARIA</t>
        </is>
      </c>
      <c r="F15" s="53" t="inlineStr">
        <is>
          <t>BATISTA</t>
        </is>
      </c>
      <c r="G15" s="53" t="inlineStr">
        <is>
          <t>5894 - UNIDASUL DISTRIBUIDORA ALIMENTICIA S/A</t>
        </is>
      </c>
      <c r="H15" s="47" t="inlineStr">
        <is>
          <t>M</t>
        </is>
      </c>
      <c r="I15" s="52" t="n">
        <v>12</v>
      </c>
      <c r="J15" s="52" t="n">
        <v>12</v>
      </c>
      <c r="K15" s="54" t="n">
        <v>19</v>
      </c>
      <c r="L15" s="54" t="n">
        <v>19</v>
      </c>
      <c r="M15" s="54" t="n">
        <v>0</v>
      </c>
      <c r="N15" s="54" t="n">
        <v>22</v>
      </c>
      <c r="O15" s="54" t="n">
        <v>34</v>
      </c>
      <c r="P15" s="54" t="n">
        <v>0</v>
      </c>
      <c r="Q15" s="54" t="n">
        <v>0</v>
      </c>
      <c r="R15" s="52" t="n">
        <v>0</v>
      </c>
      <c r="S15" s="55" t="n">
        <v>22</v>
      </c>
      <c r="T15" s="55" t="n">
        <v>34</v>
      </c>
      <c r="U15" s="54" t="n">
        <v>1032</v>
      </c>
      <c r="V15" s="54" t="n">
        <v>1032</v>
      </c>
      <c r="W15" s="54" t="n">
        <v>0</v>
      </c>
      <c r="X15" s="54" t="n">
        <v>0</v>
      </c>
      <c r="Y15" s="54" t="n">
        <v>25</v>
      </c>
      <c r="Z15" s="56" t="n">
        <v>248.25</v>
      </c>
      <c r="AA15" s="57" t="n">
        <v>0.83</v>
      </c>
      <c r="AB15" s="57" t="n">
        <v>22.9</v>
      </c>
      <c r="AC15" s="57" t="n">
        <v>1266.3</v>
      </c>
      <c r="AD15" s="54" t="n">
        <v>0</v>
      </c>
      <c r="AE15" s="54" t="n">
        <v>0</v>
      </c>
      <c r="AF15" s="54" t="n">
        <v>12</v>
      </c>
      <c r="AG15" s="54" t="n">
        <v>12</v>
      </c>
      <c r="AH15" s="57" t="n">
        <v>37.3</v>
      </c>
      <c r="AI15" s="27" t="inlineStr">
        <is>
          <t>6 - ABAIXO DO MINIMO (COM PEDIDO/TRANSITO A CAMINHO)</t>
        </is>
      </c>
      <c r="AJ15" s="39" t="inlineStr">
        <is>
          <t>M - Centralizado via CD</t>
        </is>
      </c>
      <c r="AK15" s="27" t="inlineStr">
        <is>
          <t>Abaixo Mín. (A Caminho / Pedido)</t>
        </is>
      </c>
    </row>
    <row r="16" ht="20" customHeight="1">
      <c r="A16" s="58" t="n">
        <v>11</v>
      </c>
      <c r="B16" s="58" t="n">
        <v>2799</v>
      </c>
      <c r="C16" s="59" t="inlineStr">
        <is>
          <t>FAROFA MANDIOCA YOKI 400G TRADICIONAL</t>
        </is>
      </c>
      <c r="D16" s="59" t="inlineStr">
        <is>
          <t>MERCEARIA</t>
        </is>
      </c>
      <c r="E16" s="59" t="inlineStr">
        <is>
          <t>MERCEARIA SECA</t>
        </is>
      </c>
      <c r="F16" s="59" t="inlineStr">
        <is>
          <t>NIDAL</t>
        </is>
      </c>
      <c r="G16" s="59" t="inlineStr">
        <is>
          <t>3527 - FABIANO ZAFFALON E CIA LTDA</t>
        </is>
      </c>
      <c r="H16" s="47" t="inlineStr">
        <is>
          <t>M</t>
        </is>
      </c>
      <c r="I16" s="58" t="n">
        <v>24</v>
      </c>
      <c r="J16" s="58" t="n">
        <v>24</v>
      </c>
      <c r="K16" s="60" t="n">
        <v>306</v>
      </c>
      <c r="L16" s="60" t="n">
        <v>306</v>
      </c>
      <c r="M16" s="60" t="n">
        <v>0</v>
      </c>
      <c r="N16" s="60" t="n">
        <v>102</v>
      </c>
      <c r="O16" s="60" t="n">
        <v>150</v>
      </c>
      <c r="P16" s="60" t="n">
        <v>240</v>
      </c>
      <c r="Q16" s="60" t="n">
        <v>360</v>
      </c>
      <c r="R16" s="58" t="n">
        <v>1</v>
      </c>
      <c r="S16" s="61" t="n">
        <v>342</v>
      </c>
      <c r="T16" s="61" t="n">
        <v>510</v>
      </c>
      <c r="U16" s="60" t="n">
        <v>576</v>
      </c>
      <c r="V16" s="60" t="n">
        <v>576</v>
      </c>
      <c r="W16" s="60" t="n">
        <v>0</v>
      </c>
      <c r="X16" s="60" t="n">
        <v>0</v>
      </c>
      <c r="Y16" s="60" t="n">
        <v>192</v>
      </c>
      <c r="Z16" s="62" t="n">
        <v>1567.68</v>
      </c>
      <c r="AA16" s="63" t="n">
        <v>6.4</v>
      </c>
      <c r="AB16" s="63" t="n">
        <v>47.8</v>
      </c>
      <c r="AC16" s="63" t="n">
        <v>137.8</v>
      </c>
      <c r="AD16" s="60" t="n">
        <v>0</v>
      </c>
      <c r="AE16" s="60" t="n">
        <v>0</v>
      </c>
      <c r="AF16" s="60" t="n">
        <v>192</v>
      </c>
      <c r="AG16" s="60" t="n">
        <v>192</v>
      </c>
      <c r="AH16" s="63" t="n">
        <v>77.8</v>
      </c>
      <c r="AI16" s="27" t="inlineStr">
        <is>
          <t>6 - ABAIXO DO MINIMO (COM PEDIDO/TRANSITO A CAMINHO)</t>
        </is>
      </c>
      <c r="AJ16" s="39" t="inlineStr">
        <is>
          <t>M - Centralizado via CD</t>
        </is>
      </c>
      <c r="AK16" s="27" t="inlineStr">
        <is>
          <t>Abaixo Mín. (A Caminho / Pedido)</t>
        </is>
      </c>
    </row>
    <row r="17" ht="20" customHeight="1">
      <c r="A17" s="52" t="n">
        <v>12</v>
      </c>
      <c r="B17" s="52" t="n">
        <v>899</v>
      </c>
      <c r="C17" s="53" t="inlineStr">
        <is>
          <t>REFRIG FANTA UVA LT 350ML</t>
        </is>
      </c>
      <c r="D17" s="53" t="inlineStr">
        <is>
          <t>BEBIDAS</t>
        </is>
      </c>
      <c r="E17" s="53" t="inlineStr">
        <is>
          <t>BEBIDA</t>
        </is>
      </c>
      <c r="F17" s="53" t="inlineStr">
        <is>
          <t>NICOLAS</t>
        </is>
      </c>
      <c r="G17" s="53" t="inlineStr">
        <is>
          <t>15441 - SPAL IND BRAS BEBIDAS AS</t>
        </is>
      </c>
      <c r="H17" s="47" t="inlineStr">
        <is>
          <t>M</t>
        </is>
      </c>
      <c r="I17" s="52" t="n">
        <v>6</v>
      </c>
      <c r="J17" s="52" t="n">
        <v>6</v>
      </c>
      <c r="K17" s="54" t="n">
        <v>37</v>
      </c>
      <c r="L17" s="54" t="n">
        <v>37</v>
      </c>
      <c r="M17" s="54" t="n">
        <v>0</v>
      </c>
      <c r="N17" s="54" t="n">
        <v>48</v>
      </c>
      <c r="O17" s="54" t="n">
        <v>78</v>
      </c>
      <c r="P17" s="54" t="n">
        <v>0</v>
      </c>
      <c r="Q17" s="54" t="n">
        <v>0</v>
      </c>
      <c r="R17" s="52" t="n">
        <v>0</v>
      </c>
      <c r="S17" s="55" t="n">
        <v>48</v>
      </c>
      <c r="T17" s="55" t="n">
        <v>78</v>
      </c>
      <c r="U17" s="54" t="n">
        <v>74</v>
      </c>
      <c r="V17" s="54" t="n">
        <v>74</v>
      </c>
      <c r="W17" s="54" t="n">
        <v>0</v>
      </c>
      <c r="X17" s="54" t="n">
        <v>0</v>
      </c>
      <c r="Y17" s="54" t="n">
        <v>117</v>
      </c>
      <c r="Z17" s="56" t="n">
        <v>394.33</v>
      </c>
      <c r="AA17" s="57" t="n">
        <v>3.9</v>
      </c>
      <c r="AB17" s="57" t="n">
        <v>9.5</v>
      </c>
      <c r="AC17" s="57" t="n">
        <v>28.5</v>
      </c>
      <c r="AD17" s="54" t="n">
        <v>0</v>
      </c>
      <c r="AE17" s="54" t="n">
        <v>60</v>
      </c>
      <c r="AF17" s="54" t="n">
        <v>36</v>
      </c>
      <c r="AG17" s="54" t="n">
        <v>96</v>
      </c>
      <c r="AH17" s="57" t="n">
        <v>34.1</v>
      </c>
      <c r="AI17" s="27" t="inlineStr">
        <is>
          <t>6 - ABAIXO DO MINIMO (COM PEDIDO/TRANSITO A CAMINHO)</t>
        </is>
      </c>
      <c r="AJ17" s="39" t="inlineStr">
        <is>
          <t>M - Centralizado via CD</t>
        </is>
      </c>
      <c r="AK17" s="27" t="inlineStr">
        <is>
          <t>Abaixo Mín. (A Caminho / Pedido)</t>
        </is>
      </c>
    </row>
    <row r="18" ht="20" customHeight="1">
      <c r="A18" s="58" t="n">
        <v>12</v>
      </c>
      <c r="B18" s="58" t="n">
        <v>2799</v>
      </c>
      <c r="C18" s="59" t="inlineStr">
        <is>
          <t>FAROFA MANDIOCA YOKI 400G TRADICIONAL</t>
        </is>
      </c>
      <c r="D18" s="59" t="inlineStr">
        <is>
          <t>MERCEARIA</t>
        </is>
      </c>
      <c r="E18" s="59" t="inlineStr">
        <is>
          <t>MERCEARIA SECA</t>
        </is>
      </c>
      <c r="F18" s="59" t="inlineStr">
        <is>
          <t>NIDAL</t>
        </is>
      </c>
      <c r="G18" s="59" t="inlineStr">
        <is>
          <t>3527 - FABIANO ZAFFALON E CIA LTDA</t>
        </is>
      </c>
      <c r="H18" s="47" t="inlineStr">
        <is>
          <t>M</t>
        </is>
      </c>
      <c r="I18" s="58" t="n">
        <v>24</v>
      </c>
      <c r="J18" s="58" t="n">
        <v>24</v>
      </c>
      <c r="K18" s="60" t="n">
        <v>305</v>
      </c>
      <c r="L18" s="60" t="n">
        <v>305</v>
      </c>
      <c r="M18" s="60" t="n">
        <v>0</v>
      </c>
      <c r="N18" s="60" t="n">
        <v>66</v>
      </c>
      <c r="O18" s="60" t="n">
        <v>90</v>
      </c>
      <c r="P18" s="60" t="n">
        <v>240</v>
      </c>
      <c r="Q18" s="60" t="n">
        <v>360</v>
      </c>
      <c r="R18" s="58" t="n">
        <v>1</v>
      </c>
      <c r="S18" s="61" t="n">
        <v>306</v>
      </c>
      <c r="T18" s="61" t="n">
        <v>450</v>
      </c>
      <c r="U18" s="60" t="n">
        <v>576</v>
      </c>
      <c r="V18" s="60" t="n">
        <v>576</v>
      </c>
      <c r="W18" s="60" t="n">
        <v>0</v>
      </c>
      <c r="X18" s="60" t="n">
        <v>0</v>
      </c>
      <c r="Y18" s="60" t="n">
        <v>318</v>
      </c>
      <c r="Z18" s="62" t="n">
        <v>2586.32</v>
      </c>
      <c r="AA18" s="63" t="n">
        <v>10.6</v>
      </c>
      <c r="AB18" s="63" t="n">
        <v>28.8</v>
      </c>
      <c r="AC18" s="63" t="n">
        <v>83.09999999999999</v>
      </c>
      <c r="AD18" s="60" t="n">
        <v>0</v>
      </c>
      <c r="AE18" s="60" t="n">
        <v>144</v>
      </c>
      <c r="AF18" s="60" t="n">
        <v>0</v>
      </c>
      <c r="AG18" s="60" t="n">
        <v>144</v>
      </c>
      <c r="AH18" s="63" t="n">
        <v>42.4</v>
      </c>
      <c r="AI18" s="27" t="inlineStr">
        <is>
          <t>6 - ABAIXO DO MINIMO (COM PEDIDO/TRANSITO A CAMINHO)</t>
        </is>
      </c>
      <c r="AJ18" s="39" t="inlineStr">
        <is>
          <t>M - Centralizado via CD</t>
        </is>
      </c>
      <c r="AK18" s="27" t="inlineStr">
        <is>
          <t>Abaixo Mín. (A Caminho / Pedido)</t>
        </is>
      </c>
    </row>
    <row r="19" ht="20" customHeight="1">
      <c r="A19" s="52" t="n">
        <v>13</v>
      </c>
      <c r="B19" s="52" t="n">
        <v>19312</v>
      </c>
      <c r="C19" s="53" t="inlineStr">
        <is>
          <t>COT HASTES FLEX COTTONBABY C 75</t>
        </is>
      </c>
      <c r="D19" s="53" t="inlineStr">
        <is>
          <t>PERFUMARIA E LIMPEZA</t>
        </is>
      </c>
      <c r="E19" s="53" t="inlineStr">
        <is>
          <t>PERFUMARIA</t>
        </is>
      </c>
      <c r="F19" s="53" t="inlineStr">
        <is>
          <t>BATISTA</t>
        </is>
      </c>
      <c r="G19" s="53" t="inlineStr">
        <is>
          <t>6567 - HIGIE-PLUS INDUSTRIA E COM.LTDA</t>
        </is>
      </c>
      <c r="H19" s="47" t="inlineStr">
        <is>
          <t>M</t>
        </is>
      </c>
      <c r="I19" s="52" t="n">
        <v>72</v>
      </c>
      <c r="J19" s="52" t="n">
        <v>72</v>
      </c>
      <c r="K19" s="54" t="n">
        <v>40</v>
      </c>
      <c r="L19" s="54" t="n">
        <v>40</v>
      </c>
      <c r="M19" s="54" t="n">
        <v>0</v>
      </c>
      <c r="N19" s="54" t="n">
        <v>44</v>
      </c>
      <c r="O19" s="54" t="n">
        <v>116</v>
      </c>
      <c r="P19" s="54" t="n">
        <v>0</v>
      </c>
      <c r="Q19" s="54" t="n">
        <v>0</v>
      </c>
      <c r="R19" s="52" t="n">
        <v>0</v>
      </c>
      <c r="S19" s="55" t="n">
        <v>44</v>
      </c>
      <c r="T19" s="55" t="n">
        <v>116</v>
      </c>
      <c r="U19" s="54" t="n">
        <v>792</v>
      </c>
      <c r="V19" s="54" t="n">
        <v>792</v>
      </c>
      <c r="W19" s="54" t="n">
        <v>0</v>
      </c>
      <c r="X19" s="54" t="n">
        <v>0</v>
      </c>
      <c r="Y19" s="54" t="n">
        <v>139</v>
      </c>
      <c r="Z19" s="56" t="n">
        <v>532.8099999999999</v>
      </c>
      <c r="AA19" s="57" t="n">
        <v>4.63</v>
      </c>
      <c r="AB19" s="57" t="n">
        <v>8.6</v>
      </c>
      <c r="AC19" s="57" t="n">
        <v>179.7</v>
      </c>
      <c r="AD19" s="54" t="n">
        <v>0</v>
      </c>
      <c r="AE19" s="54" t="n">
        <v>0</v>
      </c>
      <c r="AF19" s="54" t="n">
        <v>72</v>
      </c>
      <c r="AG19" s="54" t="n">
        <v>72</v>
      </c>
      <c r="AH19" s="57" t="n">
        <v>24.2</v>
      </c>
      <c r="AI19" s="27" t="inlineStr">
        <is>
          <t>6 - ABAIXO DO MINIMO (COM PEDIDO/TRANSITO A CAMINHO)</t>
        </is>
      </c>
      <c r="AJ19" s="39" t="inlineStr">
        <is>
          <t>M - Centralizado via CD</t>
        </is>
      </c>
      <c r="AK19" s="27" t="inlineStr">
        <is>
          <t>Abaixo Mín. (A Caminho / Pedido)</t>
        </is>
      </c>
    </row>
    <row r="20" ht="20" customHeight="1">
      <c r="A20" s="45" t="n">
        <v>17</v>
      </c>
      <c r="B20" s="45" t="n">
        <v>2047</v>
      </c>
      <c r="C20" s="46" t="inlineStr">
        <is>
          <t>CAFE SOL IGUACU LT LV200G PG190G TRAD</t>
        </is>
      </c>
      <c r="D20" s="46" t="inlineStr">
        <is>
          <t>MERCEARIA</t>
        </is>
      </c>
      <c r="E20" s="46" t="inlineStr">
        <is>
          <t>MERCEARIA SECA</t>
        </is>
      </c>
      <c r="F20" s="46" t="inlineStr">
        <is>
          <t>WERTER</t>
        </is>
      </c>
      <c r="G20" s="46" t="inlineStr">
        <is>
          <t>8702 - CAFE TRES CORACOES S.A</t>
        </is>
      </c>
      <c r="H20" s="47" t="inlineStr">
        <is>
          <t>M</t>
        </is>
      </c>
      <c r="I20" s="45" t="n">
        <v>12</v>
      </c>
      <c r="J20" s="45" t="n">
        <v>12</v>
      </c>
      <c r="K20" s="48" t="n">
        <v>78</v>
      </c>
      <c r="L20" s="48" t="n">
        <v>78</v>
      </c>
      <c r="M20" s="48" t="n">
        <v>0</v>
      </c>
      <c r="N20" s="48" t="n">
        <v>82</v>
      </c>
      <c r="O20" s="48" t="n">
        <v>130</v>
      </c>
      <c r="P20" s="48" t="n">
        <v>0</v>
      </c>
      <c r="Q20" s="48" t="n">
        <v>0</v>
      </c>
      <c r="R20" s="45" t="n">
        <v>0</v>
      </c>
      <c r="S20" s="49" t="n">
        <v>82</v>
      </c>
      <c r="T20" s="49" t="n">
        <v>130</v>
      </c>
      <c r="U20" s="48" t="n">
        <v>3168</v>
      </c>
      <c r="V20" s="48" t="n">
        <v>3168</v>
      </c>
      <c r="W20" s="48" t="n">
        <v>0</v>
      </c>
      <c r="X20" s="48" t="n">
        <v>0</v>
      </c>
      <c r="Y20" s="48" t="n">
        <v>195</v>
      </c>
      <c r="Z20" s="50" t="n">
        <v>5165.55</v>
      </c>
      <c r="AA20" s="51" t="n">
        <v>6.5</v>
      </c>
      <c r="AB20" s="51" t="n">
        <v>12</v>
      </c>
      <c r="AC20" s="51" t="n">
        <v>499.4</v>
      </c>
      <c r="AD20" s="48" t="n">
        <v>0</v>
      </c>
      <c r="AE20" s="48" t="n">
        <v>48</v>
      </c>
      <c r="AF20" s="48" t="n">
        <v>0</v>
      </c>
      <c r="AG20" s="48" t="n">
        <v>48</v>
      </c>
      <c r="AH20" s="51" t="n">
        <v>19.4</v>
      </c>
      <c r="AI20" s="27" t="inlineStr">
        <is>
          <t>6 - ABAIXO DO MINIMO (COM PEDIDO/TRANSITO A CAMINHO)</t>
        </is>
      </c>
      <c r="AJ20" s="39" t="inlineStr">
        <is>
          <t>M - Centralizado via CD</t>
        </is>
      </c>
      <c r="AK20" s="27" t="inlineStr">
        <is>
          <t>Abaixo Mín. (A Caminho / Pedido)</t>
        </is>
      </c>
    </row>
    <row r="21" ht="20" customHeight="1">
      <c r="A21" s="52" t="n">
        <v>18</v>
      </c>
      <c r="B21" s="52" t="n">
        <v>899</v>
      </c>
      <c r="C21" s="53" t="inlineStr">
        <is>
          <t>REFRIG FANTA UVA LT 350ML</t>
        </is>
      </c>
      <c r="D21" s="53" t="inlineStr">
        <is>
          <t>BEBIDAS</t>
        </is>
      </c>
      <c r="E21" s="53" t="inlineStr">
        <is>
          <t>BEBIDA</t>
        </is>
      </c>
      <c r="F21" s="53" t="inlineStr">
        <is>
          <t>NICOLAS</t>
        </is>
      </c>
      <c r="G21" s="53" t="inlineStr">
        <is>
          <t>15441 - SPAL IND BRAS BEBIDAS AS</t>
        </is>
      </c>
      <c r="H21" s="47" t="inlineStr">
        <is>
          <t>M</t>
        </is>
      </c>
      <c r="I21" s="52" t="n">
        <v>6</v>
      </c>
      <c r="J21" s="52" t="n">
        <v>6</v>
      </c>
      <c r="K21" s="54" t="n">
        <v>14</v>
      </c>
      <c r="L21" s="54" t="n">
        <v>14</v>
      </c>
      <c r="M21" s="54" t="n">
        <v>0</v>
      </c>
      <c r="N21" s="54" t="n">
        <v>22</v>
      </c>
      <c r="O21" s="54" t="n">
        <v>28</v>
      </c>
      <c r="P21" s="54" t="n">
        <v>0</v>
      </c>
      <c r="Q21" s="54" t="n">
        <v>0</v>
      </c>
      <c r="R21" s="52" t="n">
        <v>0</v>
      </c>
      <c r="S21" s="55" t="n">
        <v>22</v>
      </c>
      <c r="T21" s="55" t="n">
        <v>28</v>
      </c>
      <c r="U21" s="54" t="n">
        <v>74</v>
      </c>
      <c r="V21" s="54" t="n">
        <v>74</v>
      </c>
      <c r="W21" s="54" t="n">
        <v>0</v>
      </c>
      <c r="X21" s="54" t="n">
        <v>0</v>
      </c>
      <c r="Y21" s="54" t="n">
        <v>65</v>
      </c>
      <c r="Z21" s="56" t="n">
        <v>220.85</v>
      </c>
      <c r="AA21" s="57" t="n">
        <v>2.17</v>
      </c>
      <c r="AB21" s="57" t="n">
        <v>6.5</v>
      </c>
      <c r="AC21" s="57" t="n">
        <v>40.6</v>
      </c>
      <c r="AD21" s="54" t="n">
        <v>0</v>
      </c>
      <c r="AE21" s="54" t="n">
        <v>60</v>
      </c>
      <c r="AF21" s="54" t="n">
        <v>12</v>
      </c>
      <c r="AG21" s="54" t="n">
        <v>72</v>
      </c>
      <c r="AH21" s="57" t="n">
        <v>39.6</v>
      </c>
      <c r="AI21" s="27" t="inlineStr">
        <is>
          <t>6 - ABAIXO DO MINIMO (COM PEDIDO/TRANSITO A CAMINHO)</t>
        </is>
      </c>
      <c r="AJ21" s="39" t="inlineStr">
        <is>
          <t>M - Centralizado via CD</t>
        </is>
      </c>
      <c r="AK21" s="27" t="inlineStr">
        <is>
          <t>Abaixo Mín. (A Caminho / Pedido)</t>
        </is>
      </c>
    </row>
    <row r="22" ht="20" customHeight="1">
      <c r="A22" s="45" t="n">
        <v>18</v>
      </c>
      <c r="B22" s="45" t="n">
        <v>812</v>
      </c>
      <c r="C22" s="46" t="inlineStr">
        <is>
          <t>REFRIG FANTA UVA PET 2L</t>
        </is>
      </c>
      <c r="D22" s="46" t="inlineStr">
        <is>
          <t>BEBIDAS</t>
        </is>
      </c>
      <c r="E22" s="46" t="inlineStr">
        <is>
          <t>BEBIDA</t>
        </is>
      </c>
      <c r="F22" s="46" t="inlineStr">
        <is>
          <t>NICOLAS</t>
        </is>
      </c>
      <c r="G22" s="46" t="inlineStr">
        <is>
          <t>15441 - SPAL IND BRAS BEBIDAS AS</t>
        </is>
      </c>
      <c r="H22" s="47" t="inlineStr">
        <is>
          <t>M</t>
        </is>
      </c>
      <c r="I22" s="45" t="n">
        <v>8</v>
      </c>
      <c r="J22" s="45" t="n">
        <v>8</v>
      </c>
      <c r="K22" s="48" t="n">
        <v>51</v>
      </c>
      <c r="L22" s="48" t="n">
        <v>51</v>
      </c>
      <c r="M22" s="48" t="n">
        <v>0</v>
      </c>
      <c r="N22" s="48" t="n">
        <v>52</v>
      </c>
      <c r="O22" s="48" t="n">
        <v>84</v>
      </c>
      <c r="P22" s="48" t="n">
        <v>0</v>
      </c>
      <c r="Q22" s="48" t="n">
        <v>0</v>
      </c>
      <c r="R22" s="45" t="n">
        <v>0</v>
      </c>
      <c r="S22" s="49" t="n">
        <v>52</v>
      </c>
      <c r="T22" s="49" t="n">
        <v>84</v>
      </c>
      <c r="U22" s="48" t="n">
        <v>336</v>
      </c>
      <c r="V22" s="48" t="n">
        <v>336</v>
      </c>
      <c r="W22" s="48" t="n">
        <v>0</v>
      </c>
      <c r="X22" s="48" t="n">
        <v>0</v>
      </c>
      <c r="Y22" s="48" t="n">
        <v>186</v>
      </c>
      <c r="Z22" s="50" t="n">
        <v>1634.94</v>
      </c>
      <c r="AA22" s="51" t="n">
        <v>6.2</v>
      </c>
      <c r="AB22" s="51" t="n">
        <v>8.199999999999999</v>
      </c>
      <c r="AC22" s="51" t="n">
        <v>62.4</v>
      </c>
      <c r="AD22" s="48" t="n">
        <v>0</v>
      </c>
      <c r="AE22" s="48" t="n">
        <v>32</v>
      </c>
      <c r="AF22" s="48" t="n">
        <v>0</v>
      </c>
      <c r="AG22" s="48" t="n">
        <v>32</v>
      </c>
      <c r="AH22" s="51" t="n">
        <v>13.4</v>
      </c>
      <c r="AI22" s="27" t="inlineStr">
        <is>
          <t>6 - ABAIXO DO MINIMO (COM PEDIDO/TRANSITO A CAMINHO)</t>
        </is>
      </c>
      <c r="AJ22" s="39" t="inlineStr">
        <is>
          <t>M - Centralizado via CD</t>
        </is>
      </c>
      <c r="AK22" s="27" t="inlineStr">
        <is>
          <t>Abaixo Mín. (A Caminho / Pedido)</t>
        </is>
      </c>
    </row>
    <row r="23" ht="20" customHeight="1">
      <c r="A23" s="52" t="n">
        <v>18</v>
      </c>
      <c r="B23" s="52" t="n">
        <v>19312</v>
      </c>
      <c r="C23" s="53" t="inlineStr">
        <is>
          <t>COT HASTES FLEX COTTONBABY C 75</t>
        </is>
      </c>
      <c r="D23" s="53" t="inlineStr">
        <is>
          <t>PERFUMARIA E LIMPEZA</t>
        </is>
      </c>
      <c r="E23" s="53" t="inlineStr">
        <is>
          <t>PERFUMARIA</t>
        </is>
      </c>
      <c r="F23" s="53" t="inlineStr">
        <is>
          <t>BATISTA</t>
        </is>
      </c>
      <c r="G23" s="53" t="inlineStr">
        <is>
          <t>6567 - HIGIE-PLUS INDUSTRIA E COM.LTDA</t>
        </is>
      </c>
      <c r="H23" s="47" t="inlineStr">
        <is>
          <t>M</t>
        </is>
      </c>
      <c r="I23" s="52" t="n">
        <v>72</v>
      </c>
      <c r="J23" s="52" t="n">
        <v>72</v>
      </c>
      <c r="K23" s="54" t="n">
        <v>56</v>
      </c>
      <c r="L23" s="54" t="n">
        <v>56</v>
      </c>
      <c r="M23" s="54" t="n">
        <v>0</v>
      </c>
      <c r="N23" s="54" t="n">
        <v>66</v>
      </c>
      <c r="O23" s="54" t="n">
        <v>138</v>
      </c>
      <c r="P23" s="54" t="n">
        <v>0</v>
      </c>
      <c r="Q23" s="54" t="n">
        <v>0</v>
      </c>
      <c r="R23" s="52" t="n">
        <v>0</v>
      </c>
      <c r="S23" s="55" t="n">
        <v>66</v>
      </c>
      <c r="T23" s="55" t="n">
        <v>138</v>
      </c>
      <c r="U23" s="54" t="n">
        <v>792</v>
      </c>
      <c r="V23" s="54" t="n">
        <v>792</v>
      </c>
      <c r="W23" s="54" t="n">
        <v>0</v>
      </c>
      <c r="X23" s="54" t="n">
        <v>0</v>
      </c>
      <c r="Y23" s="54" t="n">
        <v>167</v>
      </c>
      <c r="Z23" s="56" t="n">
        <v>641.33</v>
      </c>
      <c r="AA23" s="57" t="n">
        <v>5.57</v>
      </c>
      <c r="AB23" s="57" t="n">
        <v>10.1</v>
      </c>
      <c r="AC23" s="57" t="n">
        <v>152.2</v>
      </c>
      <c r="AD23" s="54" t="n">
        <v>0</v>
      </c>
      <c r="AE23" s="54" t="n">
        <v>72</v>
      </c>
      <c r="AF23" s="54" t="n">
        <v>0</v>
      </c>
      <c r="AG23" s="54" t="n">
        <v>72</v>
      </c>
      <c r="AH23" s="57" t="n">
        <v>23</v>
      </c>
      <c r="AI23" s="27" t="inlineStr">
        <is>
          <t>6 - ABAIXO DO MINIMO (COM PEDIDO/TRANSITO A CAMINHO)</t>
        </is>
      </c>
      <c r="AJ23" s="39" t="inlineStr">
        <is>
          <t>M - Centralizado via CD</t>
        </is>
      </c>
      <c r="AK23" s="27" t="inlineStr">
        <is>
          <t>Abaixo Mín. (A Caminho / Pedido)</t>
        </is>
      </c>
    </row>
    <row r="24" ht="20" customHeight="1">
      <c r="A24" s="45" t="n">
        <v>1</v>
      </c>
      <c r="B24" s="45" t="n">
        <v>812</v>
      </c>
      <c r="C24" s="46" t="inlineStr">
        <is>
          <t>REFRIG FANTA UVA PET 2L</t>
        </is>
      </c>
      <c r="D24" s="46" t="inlineStr">
        <is>
          <t>BEBIDAS</t>
        </is>
      </c>
      <c r="E24" s="46" t="inlineStr">
        <is>
          <t>BEBIDA</t>
        </is>
      </c>
      <c r="F24" s="46" t="inlineStr">
        <is>
          <t>NICOLAS</t>
        </is>
      </c>
      <c r="G24" s="46" t="inlineStr">
        <is>
          <t>15441 - SPAL IND BRAS BEBIDAS AS</t>
        </is>
      </c>
      <c r="H24" s="47" t="inlineStr">
        <is>
          <t>M</t>
        </is>
      </c>
      <c r="I24" s="45" t="n">
        <v>8</v>
      </c>
      <c r="J24" s="45" t="n">
        <v>8</v>
      </c>
      <c r="K24" s="48" t="n">
        <v>14</v>
      </c>
      <c r="L24" s="48" t="n">
        <v>14</v>
      </c>
      <c r="M24" s="48" t="n">
        <v>0</v>
      </c>
      <c r="N24" s="48" t="n">
        <v>12</v>
      </c>
      <c r="O24" s="48" t="n">
        <v>20</v>
      </c>
      <c r="P24" s="48" t="n">
        <v>0</v>
      </c>
      <c r="Q24" s="48" t="n">
        <v>0</v>
      </c>
      <c r="R24" s="45" t="n">
        <v>0</v>
      </c>
      <c r="S24" s="49" t="n">
        <v>12</v>
      </c>
      <c r="T24" s="49" t="n">
        <v>20</v>
      </c>
      <c r="U24" s="48" t="n">
        <v>336</v>
      </c>
      <c r="V24" s="48" t="n">
        <v>336</v>
      </c>
      <c r="W24" s="48" t="n">
        <v>0</v>
      </c>
      <c r="X24" s="48" t="n">
        <v>0</v>
      </c>
      <c r="Y24" s="48" t="n">
        <v>48</v>
      </c>
      <c r="Z24" s="50" t="n">
        <v>421.92</v>
      </c>
      <c r="AA24" s="51" t="n">
        <v>1.6</v>
      </c>
      <c r="AB24" s="51" t="n">
        <v>8.800000000000001</v>
      </c>
      <c r="AC24" s="51" t="n">
        <v>218.8</v>
      </c>
      <c r="AD24" s="48" t="n">
        <v>0</v>
      </c>
      <c r="AE24" s="48" t="n">
        <v>8</v>
      </c>
      <c r="AF24" s="48" t="n">
        <v>0</v>
      </c>
      <c r="AG24" s="48" t="n">
        <v>8</v>
      </c>
      <c r="AH24" s="51" t="n">
        <v>13.8</v>
      </c>
      <c r="AI24" s="29" t="inlineStr">
        <is>
          <t>8 - REGULAR / NORMAL</t>
        </is>
      </c>
      <c r="AJ24" s="39" t="inlineStr">
        <is>
          <t>M - Centralizado via CD</t>
        </is>
      </c>
      <c r="AK24" s="29" t="inlineStr">
        <is>
          <t>Regular / Normal</t>
        </is>
      </c>
    </row>
    <row r="25" ht="20" customHeight="1">
      <c r="A25" s="52" t="n">
        <v>1</v>
      </c>
      <c r="B25" s="52" t="n">
        <v>2047</v>
      </c>
      <c r="C25" s="53" t="inlineStr">
        <is>
          <t>CAFE SOL IGUACU LT LV200G PG190G TRAD</t>
        </is>
      </c>
      <c r="D25" s="53" t="inlineStr">
        <is>
          <t>MERCEARIA</t>
        </is>
      </c>
      <c r="E25" s="53" t="inlineStr">
        <is>
          <t>MERCEARIA SECA</t>
        </is>
      </c>
      <c r="F25" s="53" t="inlineStr">
        <is>
          <t>WERTER</t>
        </is>
      </c>
      <c r="G25" s="53" t="inlineStr">
        <is>
          <t>8702 - CAFE TRES CORACOES S.A</t>
        </is>
      </c>
      <c r="H25" s="47" t="inlineStr">
        <is>
          <t>M</t>
        </is>
      </c>
      <c r="I25" s="52" t="n">
        <v>12</v>
      </c>
      <c r="J25" s="52" t="n">
        <v>12</v>
      </c>
      <c r="K25" s="54" t="n">
        <v>21</v>
      </c>
      <c r="L25" s="54" t="n">
        <v>21</v>
      </c>
      <c r="M25" s="54" t="n">
        <v>0</v>
      </c>
      <c r="N25" s="54" t="n">
        <v>10</v>
      </c>
      <c r="O25" s="54" t="n">
        <v>22</v>
      </c>
      <c r="P25" s="54" t="n">
        <v>0</v>
      </c>
      <c r="Q25" s="54" t="n">
        <v>0</v>
      </c>
      <c r="R25" s="52" t="n">
        <v>0</v>
      </c>
      <c r="S25" s="55" t="n">
        <v>10</v>
      </c>
      <c r="T25" s="55" t="n">
        <v>22</v>
      </c>
      <c r="U25" s="54" t="n">
        <v>3168</v>
      </c>
      <c r="V25" s="54" t="n">
        <v>3168</v>
      </c>
      <c r="W25" s="54" t="n">
        <v>0</v>
      </c>
      <c r="X25" s="54" t="n">
        <v>0</v>
      </c>
      <c r="Y25" s="54" t="n">
        <v>9</v>
      </c>
      <c r="Z25" s="56" t="n">
        <v>238.41</v>
      </c>
      <c r="AA25" s="57" t="n">
        <v>0.3</v>
      </c>
      <c r="AB25" s="57" t="n">
        <v>70</v>
      </c>
      <c r="AC25" s="57" t="n">
        <v>10630</v>
      </c>
      <c r="AD25" s="54" t="n">
        <v>0</v>
      </c>
      <c r="AE25" s="54" t="n">
        <v>0</v>
      </c>
      <c r="AF25" s="54" t="n">
        <v>0</v>
      </c>
      <c r="AG25" s="54" t="n">
        <v>0</v>
      </c>
      <c r="AH25" s="57" t="n">
        <v>70</v>
      </c>
      <c r="AI25" s="29" t="inlineStr">
        <is>
          <t>8 - REGULAR / NORMAL</t>
        </is>
      </c>
      <c r="AJ25" s="39" t="inlineStr">
        <is>
          <t>M - Centralizado via CD</t>
        </is>
      </c>
      <c r="AK25" s="29" t="inlineStr">
        <is>
          <t>Regular / Normal</t>
        </is>
      </c>
    </row>
    <row r="26" ht="20" customHeight="1">
      <c r="A26" s="45" t="n">
        <v>2</v>
      </c>
      <c r="B26" s="45" t="n">
        <v>812</v>
      </c>
      <c r="C26" s="46" t="inlineStr">
        <is>
          <t>REFRIG FANTA UVA PET 2L</t>
        </is>
      </c>
      <c r="D26" s="46" t="inlineStr">
        <is>
          <t>BEBIDAS</t>
        </is>
      </c>
      <c r="E26" s="46" t="inlineStr">
        <is>
          <t>BEBIDA</t>
        </is>
      </c>
      <c r="F26" s="46" t="inlineStr">
        <is>
          <t>NICOLAS</t>
        </is>
      </c>
      <c r="G26" s="46" t="inlineStr">
        <is>
          <t>15441 - SPAL IND BRAS BEBIDAS AS</t>
        </is>
      </c>
      <c r="H26" s="47" t="inlineStr">
        <is>
          <t>M</t>
        </is>
      </c>
      <c r="I26" s="45" t="n">
        <v>8</v>
      </c>
      <c r="J26" s="45" t="n">
        <v>8</v>
      </c>
      <c r="K26" s="48" t="n">
        <v>124</v>
      </c>
      <c r="L26" s="48" t="n">
        <v>124</v>
      </c>
      <c r="M26" s="48" t="n">
        <v>0</v>
      </c>
      <c r="N26" s="48" t="n">
        <v>84</v>
      </c>
      <c r="O26" s="48" t="n">
        <v>132</v>
      </c>
      <c r="P26" s="48" t="n">
        <v>0</v>
      </c>
      <c r="Q26" s="48" t="n">
        <v>0</v>
      </c>
      <c r="R26" s="45" t="n">
        <v>0</v>
      </c>
      <c r="S26" s="49" t="n">
        <v>84</v>
      </c>
      <c r="T26" s="49" t="n">
        <v>132</v>
      </c>
      <c r="U26" s="48" t="n">
        <v>336</v>
      </c>
      <c r="V26" s="48" t="n">
        <v>336</v>
      </c>
      <c r="W26" s="48" t="n">
        <v>0</v>
      </c>
      <c r="X26" s="48" t="n">
        <v>0</v>
      </c>
      <c r="Y26" s="48" t="n">
        <v>222</v>
      </c>
      <c r="Z26" s="50" t="n">
        <v>1951.08</v>
      </c>
      <c r="AA26" s="51" t="n">
        <v>7.4</v>
      </c>
      <c r="AB26" s="51" t="n">
        <v>16.8</v>
      </c>
      <c r="AC26" s="51" t="n">
        <v>62.2</v>
      </c>
      <c r="AD26" s="48" t="n">
        <v>0</v>
      </c>
      <c r="AE26" s="48" t="n">
        <v>0</v>
      </c>
      <c r="AF26" s="48" t="n">
        <v>0</v>
      </c>
      <c r="AG26" s="48" t="n">
        <v>0</v>
      </c>
      <c r="AH26" s="51" t="n">
        <v>16.8</v>
      </c>
      <c r="AI26" s="29" t="inlineStr">
        <is>
          <t>8 - REGULAR / NORMAL</t>
        </is>
      </c>
      <c r="AJ26" s="39" t="inlineStr">
        <is>
          <t>M - Centralizado via CD</t>
        </is>
      </c>
      <c r="AK26" s="29" t="inlineStr">
        <is>
          <t>Regular / Normal</t>
        </is>
      </c>
    </row>
    <row r="27" ht="20" customHeight="1">
      <c r="A27" s="52" t="n">
        <v>2</v>
      </c>
      <c r="B27" s="52" t="n">
        <v>2047</v>
      </c>
      <c r="C27" s="53" t="inlineStr">
        <is>
          <t>CAFE SOL IGUACU LT LV200G PG190G TRAD</t>
        </is>
      </c>
      <c r="D27" s="53" t="inlineStr">
        <is>
          <t>MERCEARIA</t>
        </is>
      </c>
      <c r="E27" s="53" t="inlineStr">
        <is>
          <t>MERCEARIA SECA</t>
        </is>
      </c>
      <c r="F27" s="53" t="inlineStr">
        <is>
          <t>WERTER</t>
        </is>
      </c>
      <c r="G27" s="53" t="inlineStr">
        <is>
          <t>8702 - CAFE TRES CORACOES S.A</t>
        </is>
      </c>
      <c r="H27" s="47" t="inlineStr">
        <is>
          <t>M</t>
        </is>
      </c>
      <c r="I27" s="52" t="n">
        <v>12</v>
      </c>
      <c r="J27" s="52" t="n">
        <v>12</v>
      </c>
      <c r="K27" s="54" t="n">
        <v>29</v>
      </c>
      <c r="L27" s="54" t="n">
        <v>29</v>
      </c>
      <c r="M27" s="54" t="n">
        <v>0</v>
      </c>
      <c r="N27" s="54" t="n">
        <v>28</v>
      </c>
      <c r="O27" s="54" t="n">
        <v>40</v>
      </c>
      <c r="P27" s="54" t="n">
        <v>0</v>
      </c>
      <c r="Q27" s="54" t="n">
        <v>0</v>
      </c>
      <c r="R27" s="52" t="n">
        <v>0</v>
      </c>
      <c r="S27" s="55" t="n">
        <v>28</v>
      </c>
      <c r="T27" s="55" t="n">
        <v>40</v>
      </c>
      <c r="U27" s="54" t="n">
        <v>3168</v>
      </c>
      <c r="V27" s="54" t="n">
        <v>3168</v>
      </c>
      <c r="W27" s="54" t="n">
        <v>0</v>
      </c>
      <c r="X27" s="54" t="n">
        <v>0</v>
      </c>
      <c r="Y27" s="54" t="n">
        <v>75</v>
      </c>
      <c r="Z27" s="56" t="n">
        <v>1986.75</v>
      </c>
      <c r="AA27" s="57" t="n">
        <v>2.5</v>
      </c>
      <c r="AB27" s="57" t="n">
        <v>11.6</v>
      </c>
      <c r="AC27" s="57" t="n">
        <v>1278.8</v>
      </c>
      <c r="AD27" s="54" t="n">
        <v>0</v>
      </c>
      <c r="AE27" s="54" t="n">
        <v>0</v>
      </c>
      <c r="AF27" s="54" t="n">
        <v>0</v>
      </c>
      <c r="AG27" s="54" t="n">
        <v>0</v>
      </c>
      <c r="AH27" s="57" t="n">
        <v>11.6</v>
      </c>
      <c r="AI27" s="29" t="inlineStr">
        <is>
          <t>8 - REGULAR / NORMAL</t>
        </is>
      </c>
      <c r="AJ27" s="39" t="inlineStr">
        <is>
          <t>M - Centralizado via CD</t>
        </is>
      </c>
      <c r="AK27" s="29" t="inlineStr">
        <is>
          <t>Regular / Normal</t>
        </is>
      </c>
    </row>
    <row r="28" ht="20" customHeight="1">
      <c r="A28" s="45" t="n">
        <v>2</v>
      </c>
      <c r="B28" s="45" t="n">
        <v>19312</v>
      </c>
      <c r="C28" s="46" t="inlineStr">
        <is>
          <t>COT HASTES FLEX COTTONBABY C 75</t>
        </is>
      </c>
      <c r="D28" s="46" t="inlineStr">
        <is>
          <t>PERFUMARIA E LIMPEZA</t>
        </is>
      </c>
      <c r="E28" s="46" t="inlineStr">
        <is>
          <t>PERFUMARIA</t>
        </is>
      </c>
      <c r="F28" s="46" t="inlineStr">
        <is>
          <t>BATISTA</t>
        </is>
      </c>
      <c r="G28" s="46" t="inlineStr">
        <is>
          <t>6567 - HIGIE-PLUS INDUSTRIA E COM.LTDA</t>
        </is>
      </c>
      <c r="H28" s="47" t="inlineStr">
        <is>
          <t>M</t>
        </is>
      </c>
      <c r="I28" s="45" t="n">
        <v>72</v>
      </c>
      <c r="J28" s="45" t="n">
        <v>72</v>
      </c>
      <c r="K28" s="48" t="n">
        <v>88</v>
      </c>
      <c r="L28" s="48" t="n">
        <v>88</v>
      </c>
      <c r="M28" s="48" t="n">
        <v>0</v>
      </c>
      <c r="N28" s="48" t="n">
        <v>44</v>
      </c>
      <c r="O28" s="48" t="n">
        <v>116</v>
      </c>
      <c r="P28" s="48" t="n">
        <v>0</v>
      </c>
      <c r="Q28" s="48" t="n">
        <v>0</v>
      </c>
      <c r="R28" s="45" t="n">
        <v>0</v>
      </c>
      <c r="S28" s="49" t="n">
        <v>44</v>
      </c>
      <c r="T28" s="49" t="n">
        <v>116</v>
      </c>
      <c r="U28" s="48" t="n">
        <v>792</v>
      </c>
      <c r="V28" s="48" t="n">
        <v>792</v>
      </c>
      <c r="W28" s="48" t="n">
        <v>0</v>
      </c>
      <c r="X28" s="48" t="n">
        <v>0</v>
      </c>
      <c r="Y28" s="48" t="n">
        <v>156</v>
      </c>
      <c r="Z28" s="50" t="n">
        <v>598.4400000000001</v>
      </c>
      <c r="AA28" s="51" t="n">
        <v>5.2</v>
      </c>
      <c r="AB28" s="51" t="n">
        <v>16.9</v>
      </c>
      <c r="AC28" s="51" t="n">
        <v>169.2</v>
      </c>
      <c r="AD28" s="48" t="n">
        <v>0</v>
      </c>
      <c r="AE28" s="48" t="n">
        <v>0</v>
      </c>
      <c r="AF28" s="48" t="n">
        <v>0</v>
      </c>
      <c r="AG28" s="48" t="n">
        <v>0</v>
      </c>
      <c r="AH28" s="51" t="n">
        <v>16.9</v>
      </c>
      <c r="AI28" s="29" t="inlineStr">
        <is>
          <t>8 - REGULAR / NORMAL</t>
        </is>
      </c>
      <c r="AJ28" s="39" t="inlineStr">
        <is>
          <t>M - Centralizado via CD</t>
        </is>
      </c>
      <c r="AK28" s="29" t="inlineStr">
        <is>
          <t>Regular / Normal</t>
        </is>
      </c>
    </row>
    <row r="29" ht="20" customHeight="1">
      <c r="A29" s="52" t="n">
        <v>2</v>
      </c>
      <c r="B29" s="52" t="n">
        <v>17315</v>
      </c>
      <c r="C29" s="53" t="inlineStr">
        <is>
          <t>DESOD ROLLON REXONA 50ML V8</t>
        </is>
      </c>
      <c r="D29" s="53" t="inlineStr">
        <is>
          <t>PERFUMARIA E LIMPEZA</t>
        </is>
      </c>
      <c r="E29" s="53" t="inlineStr">
        <is>
          <t>PERFUMARIA</t>
        </is>
      </c>
      <c r="F29" s="53" t="inlineStr">
        <is>
          <t>BATISTA</t>
        </is>
      </c>
      <c r="G29" s="53" t="inlineStr">
        <is>
          <t>5894 - UNIDASUL DISTRIBUIDORA ALIMENTICIA S/A</t>
        </is>
      </c>
      <c r="H29" s="47" t="inlineStr">
        <is>
          <t>M</t>
        </is>
      </c>
      <c r="I29" s="52" t="n">
        <v>12</v>
      </c>
      <c r="J29" s="52" t="n">
        <v>12</v>
      </c>
      <c r="K29" s="54" t="n">
        <v>29</v>
      </c>
      <c r="L29" s="54" t="n">
        <v>29</v>
      </c>
      <c r="M29" s="54" t="n">
        <v>0</v>
      </c>
      <c r="N29" s="54" t="n">
        <v>22</v>
      </c>
      <c r="O29" s="54" t="n">
        <v>34</v>
      </c>
      <c r="P29" s="54" t="n">
        <v>0</v>
      </c>
      <c r="Q29" s="54" t="n">
        <v>0</v>
      </c>
      <c r="R29" s="52" t="n">
        <v>0</v>
      </c>
      <c r="S29" s="55" t="n">
        <v>22</v>
      </c>
      <c r="T29" s="55" t="n">
        <v>34</v>
      </c>
      <c r="U29" s="54" t="n">
        <v>1032</v>
      </c>
      <c r="V29" s="54" t="n">
        <v>1032</v>
      </c>
      <c r="W29" s="54" t="n">
        <v>0</v>
      </c>
      <c r="X29" s="54" t="n">
        <v>0</v>
      </c>
      <c r="Y29" s="54" t="n">
        <v>29</v>
      </c>
      <c r="Z29" s="56" t="n">
        <v>289.71</v>
      </c>
      <c r="AA29" s="57" t="n">
        <v>0.97</v>
      </c>
      <c r="AB29" s="57" t="n">
        <v>29.9</v>
      </c>
      <c r="AC29" s="57" t="n">
        <v>1093.8</v>
      </c>
      <c r="AD29" s="54" t="n">
        <v>0</v>
      </c>
      <c r="AE29" s="54" t="n">
        <v>0</v>
      </c>
      <c r="AF29" s="54" t="n">
        <v>0</v>
      </c>
      <c r="AG29" s="54" t="n">
        <v>0</v>
      </c>
      <c r="AH29" s="57" t="n">
        <v>29.9</v>
      </c>
      <c r="AI29" s="29" t="inlineStr">
        <is>
          <t>8 - REGULAR / NORMAL</t>
        </is>
      </c>
      <c r="AJ29" s="39" t="inlineStr">
        <is>
          <t>M - Centralizado via CD</t>
        </is>
      </c>
      <c r="AK29" s="29" t="inlineStr">
        <is>
          <t>Regular / Normal</t>
        </is>
      </c>
    </row>
    <row r="30" ht="20" customHeight="1">
      <c r="A30" s="58" t="n">
        <v>3</v>
      </c>
      <c r="B30" s="58" t="n">
        <v>812</v>
      </c>
      <c r="C30" s="59" t="inlineStr">
        <is>
          <t>REFRIG FANTA UVA PET 2L</t>
        </is>
      </c>
      <c r="D30" s="59" t="inlineStr">
        <is>
          <t>BEBIDAS</t>
        </is>
      </c>
      <c r="E30" s="59" t="inlineStr">
        <is>
          <t>BEBIDA</t>
        </is>
      </c>
      <c r="F30" s="59" t="inlineStr">
        <is>
          <t>NICOLAS</t>
        </is>
      </c>
      <c r="G30" s="59" t="inlineStr">
        <is>
          <t>15441 - SPAL IND BRAS BEBIDAS AS</t>
        </is>
      </c>
      <c r="H30" s="47" t="inlineStr">
        <is>
          <t>M</t>
        </is>
      </c>
      <c r="I30" s="58" t="n">
        <v>8</v>
      </c>
      <c r="J30" s="58" t="n">
        <v>8</v>
      </c>
      <c r="K30" s="60" t="n">
        <v>733</v>
      </c>
      <c r="L30" s="60" t="n">
        <v>733</v>
      </c>
      <c r="M30" s="60" t="n">
        <v>0</v>
      </c>
      <c r="N30" s="60" t="n">
        <v>26</v>
      </c>
      <c r="O30" s="60" t="n">
        <v>34</v>
      </c>
      <c r="P30" s="60" t="n">
        <v>600</v>
      </c>
      <c r="Q30" s="60" t="n">
        <v>780</v>
      </c>
      <c r="R30" s="58" t="n">
        <v>1</v>
      </c>
      <c r="S30" s="61" t="n">
        <v>626</v>
      </c>
      <c r="T30" s="61" t="n">
        <v>814</v>
      </c>
      <c r="U30" s="60" t="n">
        <v>336</v>
      </c>
      <c r="V30" s="60" t="n">
        <v>336</v>
      </c>
      <c r="W30" s="60" t="n">
        <v>0</v>
      </c>
      <c r="X30" s="60" t="n">
        <v>0</v>
      </c>
      <c r="Y30" s="60" t="n">
        <v>564</v>
      </c>
      <c r="Z30" s="62" t="n">
        <v>4744.99</v>
      </c>
      <c r="AA30" s="63" t="n">
        <v>18.8</v>
      </c>
      <c r="AB30" s="63" t="n">
        <v>39</v>
      </c>
      <c r="AC30" s="63" t="n">
        <v>56.9</v>
      </c>
      <c r="AD30" s="60" t="n">
        <v>0</v>
      </c>
      <c r="AE30" s="60" t="n">
        <v>0</v>
      </c>
      <c r="AF30" s="60" t="n">
        <v>0</v>
      </c>
      <c r="AG30" s="60" t="n">
        <v>0</v>
      </c>
      <c r="AH30" s="63" t="n">
        <v>39</v>
      </c>
      <c r="AI30" s="29" t="inlineStr">
        <is>
          <t>8 - REGULAR / NORMAL</t>
        </is>
      </c>
      <c r="AJ30" s="39" t="inlineStr">
        <is>
          <t>M - Centralizado via CD</t>
        </is>
      </c>
      <c r="AK30" s="29" t="inlineStr">
        <is>
          <t>Regular / Normal</t>
        </is>
      </c>
    </row>
    <row r="31" ht="20" customHeight="1">
      <c r="A31" s="52" t="n">
        <v>3</v>
      </c>
      <c r="B31" s="52" t="n">
        <v>2020</v>
      </c>
      <c r="C31" s="53" t="inlineStr">
        <is>
          <t>CAFE VACUO MELITTA 500G EXTRA FORTE</t>
        </is>
      </c>
      <c r="D31" s="53" t="inlineStr">
        <is>
          <t>MERCEARIA</t>
        </is>
      </c>
      <c r="E31" s="53" t="inlineStr">
        <is>
          <t>MERCEARIA SECA</t>
        </is>
      </c>
      <c r="F31" s="53" t="inlineStr">
        <is>
          <t>WERTER</t>
        </is>
      </c>
      <c r="G31" s="53" t="inlineStr">
        <is>
          <t>10368 - MELITTA DO BRASIL E COMERCIO LTDA.</t>
        </is>
      </c>
      <c r="H31" s="47" t="inlineStr">
        <is>
          <t>M</t>
        </is>
      </c>
      <c r="I31" s="52" t="n">
        <v>20</v>
      </c>
      <c r="J31" s="52" t="n">
        <v>20</v>
      </c>
      <c r="K31" s="54" t="n">
        <v>65</v>
      </c>
      <c r="L31" s="54" t="n">
        <v>65</v>
      </c>
      <c r="M31" s="54" t="n">
        <v>0</v>
      </c>
      <c r="N31" s="54" t="n">
        <v>64</v>
      </c>
      <c r="O31" s="54" t="n">
        <v>84</v>
      </c>
      <c r="P31" s="54" t="n">
        <v>0</v>
      </c>
      <c r="Q31" s="54" t="n">
        <v>0</v>
      </c>
      <c r="R31" s="52" t="n">
        <v>0</v>
      </c>
      <c r="S31" s="55" t="n">
        <v>64</v>
      </c>
      <c r="T31" s="55" t="n">
        <v>84</v>
      </c>
      <c r="U31" s="54" t="n">
        <v>401</v>
      </c>
      <c r="V31" s="54" t="n">
        <v>400</v>
      </c>
      <c r="W31" s="54" t="n">
        <v>0</v>
      </c>
      <c r="X31" s="54" t="n">
        <v>1</v>
      </c>
      <c r="Y31" s="54" t="n">
        <v>154</v>
      </c>
      <c r="Z31" s="56" t="n">
        <v>4194.54</v>
      </c>
      <c r="AA31" s="57" t="n">
        <v>5.13</v>
      </c>
      <c r="AB31" s="57" t="n">
        <v>12.7</v>
      </c>
      <c r="AC31" s="57" t="n">
        <v>90.8</v>
      </c>
      <c r="AD31" s="54" t="n">
        <v>0</v>
      </c>
      <c r="AE31" s="54" t="n">
        <v>0</v>
      </c>
      <c r="AF31" s="54" t="n">
        <v>0</v>
      </c>
      <c r="AG31" s="54" t="n">
        <v>0</v>
      </c>
      <c r="AH31" s="57" t="n">
        <v>12.7</v>
      </c>
      <c r="AI31" s="29" t="inlineStr">
        <is>
          <t>8 - REGULAR / NORMAL</t>
        </is>
      </c>
      <c r="AJ31" s="39" t="inlineStr">
        <is>
          <t>M - Centralizado via CD</t>
        </is>
      </c>
      <c r="AK31" s="29" t="inlineStr">
        <is>
          <t>Regular / Normal</t>
        </is>
      </c>
    </row>
    <row r="32" ht="20" customHeight="1">
      <c r="A32" s="45" t="n">
        <v>3</v>
      </c>
      <c r="B32" s="45" t="n">
        <v>2018</v>
      </c>
      <c r="C32" s="46" t="inlineStr">
        <is>
          <t>CAFE VACUO MELITTA 500G TRAD</t>
        </is>
      </c>
      <c r="D32" s="46" t="inlineStr">
        <is>
          <t>MERCEARIA</t>
        </is>
      </c>
      <c r="E32" s="46" t="inlineStr">
        <is>
          <t>MERCEARIA SECA</t>
        </is>
      </c>
      <c r="F32" s="46" t="inlineStr">
        <is>
          <t>WERTER</t>
        </is>
      </c>
      <c r="G32" s="46" t="inlineStr">
        <is>
          <t>10368 - MELITTA DO BRASIL E COMERCIO LTDA.</t>
        </is>
      </c>
      <c r="H32" s="47" t="inlineStr">
        <is>
          <t>M</t>
        </is>
      </c>
      <c r="I32" s="45" t="n">
        <v>20</v>
      </c>
      <c r="J32" s="45" t="n">
        <v>20</v>
      </c>
      <c r="K32" s="48" t="n">
        <v>149</v>
      </c>
      <c r="L32" s="48" t="n">
        <v>149</v>
      </c>
      <c r="M32" s="48" t="n">
        <v>0</v>
      </c>
      <c r="N32" s="48" t="n">
        <v>108</v>
      </c>
      <c r="O32" s="48" t="n">
        <v>168</v>
      </c>
      <c r="P32" s="48" t="n">
        <v>0</v>
      </c>
      <c r="Q32" s="48" t="n">
        <v>0</v>
      </c>
      <c r="R32" s="45" t="n">
        <v>0</v>
      </c>
      <c r="S32" s="49" t="n">
        <v>108</v>
      </c>
      <c r="T32" s="49" t="n">
        <v>168</v>
      </c>
      <c r="U32" s="48" t="n">
        <v>1684</v>
      </c>
      <c r="V32" s="48" t="n">
        <v>1684</v>
      </c>
      <c r="W32" s="48" t="n">
        <v>0</v>
      </c>
      <c r="X32" s="48" t="n">
        <v>0</v>
      </c>
      <c r="Y32" s="48" t="n">
        <v>486</v>
      </c>
      <c r="Z32" s="50" t="n">
        <v>13272.37</v>
      </c>
      <c r="AA32" s="51" t="n">
        <v>16.2</v>
      </c>
      <c r="AB32" s="51" t="n">
        <v>9.199999999999999</v>
      </c>
      <c r="AC32" s="51" t="n">
        <v>113.1</v>
      </c>
      <c r="AD32" s="48" t="n">
        <v>0</v>
      </c>
      <c r="AE32" s="48" t="n">
        <v>0</v>
      </c>
      <c r="AF32" s="48" t="n">
        <v>0</v>
      </c>
      <c r="AG32" s="48" t="n">
        <v>0</v>
      </c>
      <c r="AH32" s="51" t="n">
        <v>9.199999999999999</v>
      </c>
      <c r="AI32" s="29" t="inlineStr">
        <is>
          <t>8 - REGULAR / NORMAL</t>
        </is>
      </c>
      <c r="AJ32" s="39" t="inlineStr">
        <is>
          <t>M - Centralizado via CD</t>
        </is>
      </c>
      <c r="AK32" s="29" t="inlineStr">
        <is>
          <t>Regular / Normal</t>
        </is>
      </c>
    </row>
    <row r="33" ht="20" customHeight="1">
      <c r="A33" s="58" t="n">
        <v>3</v>
      </c>
      <c r="B33" s="58" t="n">
        <v>2799</v>
      </c>
      <c r="C33" s="59" t="inlineStr">
        <is>
          <t>FAROFA MANDIOCA YOKI 400G TRADICIONAL</t>
        </is>
      </c>
      <c r="D33" s="59" t="inlineStr">
        <is>
          <t>MERCEARIA</t>
        </is>
      </c>
      <c r="E33" s="59" t="inlineStr">
        <is>
          <t>MERCEARIA SECA</t>
        </is>
      </c>
      <c r="F33" s="59" t="inlineStr">
        <is>
          <t>NIDAL</t>
        </is>
      </c>
      <c r="G33" s="59" t="inlineStr">
        <is>
          <t>3527 - FABIANO ZAFFALON E CIA LTDA</t>
        </is>
      </c>
      <c r="H33" s="47" t="inlineStr">
        <is>
          <t>M</t>
        </is>
      </c>
      <c r="I33" s="58" t="n">
        <v>24</v>
      </c>
      <c r="J33" s="58" t="n">
        <v>24</v>
      </c>
      <c r="K33" s="60" t="n">
        <v>509</v>
      </c>
      <c r="L33" s="60" t="n">
        <v>509</v>
      </c>
      <c r="M33" s="60" t="n">
        <v>0</v>
      </c>
      <c r="N33" s="60" t="n">
        <v>102</v>
      </c>
      <c r="O33" s="60" t="n">
        <v>150</v>
      </c>
      <c r="P33" s="60" t="n">
        <v>240</v>
      </c>
      <c r="Q33" s="60" t="n">
        <v>360</v>
      </c>
      <c r="R33" s="58" t="n">
        <v>1</v>
      </c>
      <c r="S33" s="61" t="n">
        <v>342</v>
      </c>
      <c r="T33" s="61" t="n">
        <v>510</v>
      </c>
      <c r="U33" s="60" t="n">
        <v>576</v>
      </c>
      <c r="V33" s="60" t="n">
        <v>576</v>
      </c>
      <c r="W33" s="60" t="n">
        <v>0</v>
      </c>
      <c r="X33" s="60" t="n">
        <v>0</v>
      </c>
      <c r="Y33" s="60" t="n">
        <v>325</v>
      </c>
      <c r="Z33" s="62" t="n">
        <v>2657.25</v>
      </c>
      <c r="AA33" s="63" t="n">
        <v>10.83</v>
      </c>
      <c r="AB33" s="63" t="n">
        <v>47</v>
      </c>
      <c r="AC33" s="63" t="n">
        <v>100.2</v>
      </c>
      <c r="AD33" s="60" t="n">
        <v>0</v>
      </c>
      <c r="AE33" s="60" t="n">
        <v>0</v>
      </c>
      <c r="AF33" s="60" t="n">
        <v>0</v>
      </c>
      <c r="AG33" s="60" t="n">
        <v>0</v>
      </c>
      <c r="AH33" s="63" t="n">
        <v>47</v>
      </c>
      <c r="AI33" s="29" t="inlineStr">
        <is>
          <t>8 - REGULAR / NORMAL</t>
        </is>
      </c>
      <c r="AJ33" s="39" t="inlineStr">
        <is>
          <t>M - Centralizado via CD</t>
        </is>
      </c>
      <c r="AK33" s="29" t="inlineStr">
        <is>
          <t>Regular / Normal</t>
        </is>
      </c>
    </row>
    <row r="34" ht="20" customHeight="1">
      <c r="A34" s="45" t="n">
        <v>3</v>
      </c>
      <c r="B34" s="45" t="n">
        <v>19312</v>
      </c>
      <c r="C34" s="46" t="inlineStr">
        <is>
          <t>COT HASTES FLEX COTTONBABY C 75</t>
        </is>
      </c>
      <c r="D34" s="46" t="inlineStr">
        <is>
          <t>PERFUMARIA E LIMPEZA</t>
        </is>
      </c>
      <c r="E34" s="46" t="inlineStr">
        <is>
          <t>PERFUMARIA</t>
        </is>
      </c>
      <c r="F34" s="46" t="inlineStr">
        <is>
          <t>BATISTA</t>
        </is>
      </c>
      <c r="G34" s="46" t="inlineStr">
        <is>
          <t>6567 - HIGIE-PLUS INDUSTRIA E COM.LTDA</t>
        </is>
      </c>
      <c r="H34" s="47" t="inlineStr">
        <is>
          <t>M</t>
        </is>
      </c>
      <c r="I34" s="45" t="n">
        <v>72</v>
      </c>
      <c r="J34" s="45" t="n">
        <v>72</v>
      </c>
      <c r="K34" s="48" t="n">
        <v>177</v>
      </c>
      <c r="L34" s="48" t="n">
        <v>177</v>
      </c>
      <c r="M34" s="48" t="n">
        <v>0</v>
      </c>
      <c r="N34" s="48" t="n">
        <v>154</v>
      </c>
      <c r="O34" s="48" t="n">
        <v>298</v>
      </c>
      <c r="P34" s="48" t="n">
        <v>0</v>
      </c>
      <c r="Q34" s="48" t="n">
        <v>0</v>
      </c>
      <c r="R34" s="45" t="n">
        <v>0</v>
      </c>
      <c r="S34" s="49" t="n">
        <v>154</v>
      </c>
      <c r="T34" s="49" t="n">
        <v>298</v>
      </c>
      <c r="U34" s="48" t="n">
        <v>792</v>
      </c>
      <c r="V34" s="48" t="n">
        <v>792</v>
      </c>
      <c r="W34" s="48" t="n">
        <v>0</v>
      </c>
      <c r="X34" s="48" t="n">
        <v>0</v>
      </c>
      <c r="Y34" s="48" t="n">
        <v>400</v>
      </c>
      <c r="Z34" s="50" t="n">
        <v>1532.4</v>
      </c>
      <c r="AA34" s="51" t="n">
        <v>13.33</v>
      </c>
      <c r="AB34" s="51" t="n">
        <v>13.3</v>
      </c>
      <c r="AC34" s="51" t="n">
        <v>72.7</v>
      </c>
      <c r="AD34" s="48" t="n">
        <v>0</v>
      </c>
      <c r="AE34" s="48" t="n">
        <v>0</v>
      </c>
      <c r="AF34" s="48" t="n">
        <v>0</v>
      </c>
      <c r="AG34" s="48" t="n">
        <v>0</v>
      </c>
      <c r="AH34" s="51" t="n">
        <v>13.3</v>
      </c>
      <c r="AI34" s="29" t="inlineStr">
        <is>
          <t>8 - REGULAR / NORMAL</t>
        </is>
      </c>
      <c r="AJ34" s="39" t="inlineStr">
        <is>
          <t>M - Centralizado via CD</t>
        </is>
      </c>
      <c r="AK34" s="29" t="inlineStr">
        <is>
          <t>Regular / Normal</t>
        </is>
      </c>
    </row>
    <row r="35" ht="20" customHeight="1">
      <c r="A35" s="52" t="n">
        <v>3</v>
      </c>
      <c r="B35" s="52" t="n">
        <v>17315</v>
      </c>
      <c r="C35" s="53" t="inlineStr">
        <is>
          <t>DESOD ROLLON REXONA 50ML V8</t>
        </is>
      </c>
      <c r="D35" s="53" t="inlineStr">
        <is>
          <t>PERFUMARIA E LIMPEZA</t>
        </is>
      </c>
      <c r="E35" s="53" t="inlineStr">
        <is>
          <t>PERFUMARIA</t>
        </is>
      </c>
      <c r="F35" s="53" t="inlineStr">
        <is>
          <t>BATISTA</t>
        </is>
      </c>
      <c r="G35" s="53" t="inlineStr">
        <is>
          <t>5894 - UNIDASUL DISTRIBUIDORA ALIMENTICIA S/A</t>
        </is>
      </c>
      <c r="H35" s="47" t="inlineStr">
        <is>
          <t>M</t>
        </is>
      </c>
      <c r="I35" s="52" t="n">
        <v>12</v>
      </c>
      <c r="J35" s="52" t="n">
        <v>12</v>
      </c>
      <c r="K35" s="54" t="n">
        <v>51</v>
      </c>
      <c r="L35" s="54" t="n">
        <v>51</v>
      </c>
      <c r="M35" s="54" t="n">
        <v>0</v>
      </c>
      <c r="N35" s="54" t="n">
        <v>40</v>
      </c>
      <c r="O35" s="54" t="n">
        <v>52</v>
      </c>
      <c r="P35" s="54" t="n">
        <v>0</v>
      </c>
      <c r="Q35" s="54" t="n">
        <v>0</v>
      </c>
      <c r="R35" s="52" t="n">
        <v>0</v>
      </c>
      <c r="S35" s="55" t="n">
        <v>40</v>
      </c>
      <c r="T35" s="55" t="n">
        <v>52</v>
      </c>
      <c r="U35" s="54" t="n">
        <v>1032</v>
      </c>
      <c r="V35" s="54" t="n">
        <v>1032</v>
      </c>
      <c r="W35" s="54" t="n">
        <v>0</v>
      </c>
      <c r="X35" s="54" t="n">
        <v>0</v>
      </c>
      <c r="Y35" s="54" t="n">
        <v>35</v>
      </c>
      <c r="Z35" s="56" t="n">
        <v>347.15</v>
      </c>
      <c r="AA35" s="57" t="n">
        <v>1.17</v>
      </c>
      <c r="AB35" s="57" t="n">
        <v>43.6</v>
      </c>
      <c r="AC35" s="57" t="n">
        <v>925.6</v>
      </c>
      <c r="AD35" s="54" t="n">
        <v>0</v>
      </c>
      <c r="AE35" s="54" t="n">
        <v>0</v>
      </c>
      <c r="AF35" s="54" t="n">
        <v>0</v>
      </c>
      <c r="AG35" s="54" t="n">
        <v>0</v>
      </c>
      <c r="AH35" s="57" t="n">
        <v>43.6</v>
      </c>
      <c r="AI35" s="29" t="inlineStr">
        <is>
          <t>8 - REGULAR / NORMAL</t>
        </is>
      </c>
      <c r="AJ35" s="39" t="inlineStr">
        <is>
          <t>M - Centralizado via CD</t>
        </is>
      </c>
      <c r="AK35" s="29" t="inlineStr">
        <is>
          <t>Regular / Normal</t>
        </is>
      </c>
    </row>
    <row r="36" ht="20" customHeight="1">
      <c r="A36" s="45" t="n">
        <v>4</v>
      </c>
      <c r="B36" s="45" t="n">
        <v>899</v>
      </c>
      <c r="C36" s="46" t="inlineStr">
        <is>
          <t>REFRIG FANTA UVA LT 350ML</t>
        </is>
      </c>
      <c r="D36" s="46" t="inlineStr">
        <is>
          <t>BEBIDAS</t>
        </is>
      </c>
      <c r="E36" s="46" t="inlineStr">
        <is>
          <t>BEBIDA</t>
        </is>
      </c>
      <c r="F36" s="46" t="inlineStr">
        <is>
          <t>NICOLAS</t>
        </is>
      </c>
      <c r="G36" s="46" t="inlineStr">
        <is>
          <t>15441 - SPAL IND BRAS BEBIDAS AS</t>
        </is>
      </c>
      <c r="H36" s="47" t="inlineStr">
        <is>
          <t>M</t>
        </is>
      </c>
      <c r="I36" s="45" t="n">
        <v>6</v>
      </c>
      <c r="J36" s="45" t="n">
        <v>6</v>
      </c>
      <c r="K36" s="48" t="n">
        <v>65</v>
      </c>
      <c r="L36" s="48" t="n">
        <v>65</v>
      </c>
      <c r="M36" s="48" t="n">
        <v>0</v>
      </c>
      <c r="N36" s="48" t="n">
        <v>48</v>
      </c>
      <c r="O36" s="48" t="n">
        <v>78</v>
      </c>
      <c r="P36" s="48" t="n">
        <v>0</v>
      </c>
      <c r="Q36" s="48" t="n">
        <v>0</v>
      </c>
      <c r="R36" s="45" t="n">
        <v>0</v>
      </c>
      <c r="S36" s="49" t="n">
        <v>48</v>
      </c>
      <c r="T36" s="49" t="n">
        <v>78</v>
      </c>
      <c r="U36" s="48" t="n">
        <v>74</v>
      </c>
      <c r="V36" s="48" t="n">
        <v>74</v>
      </c>
      <c r="W36" s="48" t="n">
        <v>0</v>
      </c>
      <c r="X36" s="48" t="n">
        <v>0</v>
      </c>
      <c r="Y36" s="48" t="n">
        <v>136</v>
      </c>
      <c r="Z36" s="50" t="n">
        <v>463.14</v>
      </c>
      <c r="AA36" s="51" t="n">
        <v>4.53</v>
      </c>
      <c r="AB36" s="51" t="n">
        <v>14.3</v>
      </c>
      <c r="AC36" s="51" t="n">
        <v>30.7</v>
      </c>
      <c r="AD36" s="48" t="n">
        <v>0</v>
      </c>
      <c r="AE36" s="48" t="n">
        <v>30</v>
      </c>
      <c r="AF36" s="48" t="n">
        <v>0</v>
      </c>
      <c r="AG36" s="48" t="n">
        <v>30</v>
      </c>
      <c r="AH36" s="51" t="n">
        <v>21</v>
      </c>
      <c r="AI36" s="29" t="inlineStr">
        <is>
          <t>8 - REGULAR / NORMAL</t>
        </is>
      </c>
      <c r="AJ36" s="39" t="inlineStr">
        <is>
          <t>M - Centralizado via CD</t>
        </is>
      </c>
      <c r="AK36" s="29" t="inlineStr">
        <is>
          <t>Regular / Normal</t>
        </is>
      </c>
    </row>
    <row r="37" ht="20" customHeight="1">
      <c r="A37" s="52" t="n">
        <v>4</v>
      </c>
      <c r="B37" s="52" t="n">
        <v>812</v>
      </c>
      <c r="C37" s="53" t="inlineStr">
        <is>
          <t>REFRIG FANTA UVA PET 2L</t>
        </is>
      </c>
      <c r="D37" s="53" t="inlineStr">
        <is>
          <t>BEBIDAS</t>
        </is>
      </c>
      <c r="E37" s="53" t="inlineStr">
        <is>
          <t>BEBIDA</t>
        </is>
      </c>
      <c r="F37" s="53" t="inlineStr">
        <is>
          <t>NICOLAS</t>
        </is>
      </c>
      <c r="G37" s="53" t="inlineStr">
        <is>
          <t>15441 - SPAL IND BRAS BEBIDAS AS</t>
        </is>
      </c>
      <c r="H37" s="47" t="inlineStr">
        <is>
          <t>M</t>
        </is>
      </c>
      <c r="I37" s="52" t="n">
        <v>8</v>
      </c>
      <c r="J37" s="52" t="n">
        <v>8</v>
      </c>
      <c r="K37" s="54" t="n">
        <v>62</v>
      </c>
      <c r="L37" s="54" t="n">
        <v>62</v>
      </c>
      <c r="M37" s="54" t="n">
        <v>0</v>
      </c>
      <c r="N37" s="54" t="n">
        <v>38</v>
      </c>
      <c r="O37" s="54" t="n">
        <v>62</v>
      </c>
      <c r="P37" s="54" t="n">
        <v>0</v>
      </c>
      <c r="Q37" s="54" t="n">
        <v>0</v>
      </c>
      <c r="R37" s="52" t="n">
        <v>0</v>
      </c>
      <c r="S37" s="55" t="n">
        <v>38</v>
      </c>
      <c r="T37" s="55" t="n">
        <v>62</v>
      </c>
      <c r="U37" s="54" t="n">
        <v>336</v>
      </c>
      <c r="V37" s="54" t="n">
        <v>336</v>
      </c>
      <c r="W37" s="54" t="n">
        <v>0</v>
      </c>
      <c r="X37" s="54" t="n">
        <v>0</v>
      </c>
      <c r="Y37" s="54" t="n">
        <v>150</v>
      </c>
      <c r="Z37" s="56" t="n">
        <v>1318.5</v>
      </c>
      <c r="AA37" s="57" t="n">
        <v>5</v>
      </c>
      <c r="AB37" s="57" t="n">
        <v>12.4</v>
      </c>
      <c r="AC37" s="57" t="n">
        <v>79.59999999999999</v>
      </c>
      <c r="AD37" s="54" t="n">
        <v>0</v>
      </c>
      <c r="AE37" s="54" t="n">
        <v>0</v>
      </c>
      <c r="AF37" s="54" t="n">
        <v>0</v>
      </c>
      <c r="AG37" s="54" t="n">
        <v>0</v>
      </c>
      <c r="AH37" s="57" t="n">
        <v>12.4</v>
      </c>
      <c r="AI37" s="29" t="inlineStr">
        <is>
          <t>8 - REGULAR / NORMAL</t>
        </is>
      </c>
      <c r="AJ37" s="39" t="inlineStr">
        <is>
          <t>M - Centralizado via CD</t>
        </is>
      </c>
      <c r="AK37" s="29" t="inlineStr">
        <is>
          <t>Regular / Normal</t>
        </is>
      </c>
    </row>
    <row r="38" ht="20" customHeight="1">
      <c r="A38" s="45" t="n">
        <v>4</v>
      </c>
      <c r="B38" s="45" t="n">
        <v>2020</v>
      </c>
      <c r="C38" s="46" t="inlineStr">
        <is>
          <t>CAFE VACUO MELITTA 500G EXTRA FORTE</t>
        </is>
      </c>
      <c r="D38" s="46" t="inlineStr">
        <is>
          <t>MERCEARIA</t>
        </is>
      </c>
      <c r="E38" s="46" t="inlineStr">
        <is>
          <t>MERCEARIA SECA</t>
        </is>
      </c>
      <c r="F38" s="46" t="inlineStr">
        <is>
          <t>WERTER</t>
        </is>
      </c>
      <c r="G38" s="46" t="inlineStr">
        <is>
          <t>10368 - MELITTA DO BRASIL E COMERCIO LTDA.</t>
        </is>
      </c>
      <c r="H38" s="47" t="inlineStr">
        <is>
          <t>M</t>
        </is>
      </c>
      <c r="I38" s="45" t="n">
        <v>20</v>
      </c>
      <c r="J38" s="45" t="n">
        <v>20</v>
      </c>
      <c r="K38" s="48" t="n">
        <v>32</v>
      </c>
      <c r="L38" s="48" t="n">
        <v>32</v>
      </c>
      <c r="M38" s="48" t="n">
        <v>0</v>
      </c>
      <c r="N38" s="48" t="n">
        <v>16</v>
      </c>
      <c r="O38" s="48" t="n">
        <v>36</v>
      </c>
      <c r="P38" s="48" t="n">
        <v>0</v>
      </c>
      <c r="Q38" s="48" t="n">
        <v>0</v>
      </c>
      <c r="R38" s="45" t="n">
        <v>0</v>
      </c>
      <c r="S38" s="49" t="n">
        <v>16</v>
      </c>
      <c r="T38" s="49" t="n">
        <v>36</v>
      </c>
      <c r="U38" s="48" t="n">
        <v>401</v>
      </c>
      <c r="V38" s="48" t="n">
        <v>400</v>
      </c>
      <c r="W38" s="48" t="n">
        <v>0</v>
      </c>
      <c r="X38" s="48" t="n">
        <v>1</v>
      </c>
      <c r="Y38" s="48" t="n">
        <v>98</v>
      </c>
      <c r="Z38" s="50" t="n">
        <v>2660.99</v>
      </c>
      <c r="AA38" s="51" t="n">
        <v>3.27</v>
      </c>
      <c r="AB38" s="51" t="n">
        <v>9.800000000000001</v>
      </c>
      <c r="AC38" s="51" t="n">
        <v>132.4</v>
      </c>
      <c r="AD38" s="48" t="n">
        <v>0</v>
      </c>
      <c r="AE38" s="48" t="n">
        <v>0</v>
      </c>
      <c r="AF38" s="48" t="n">
        <v>0</v>
      </c>
      <c r="AG38" s="48" t="n">
        <v>0</v>
      </c>
      <c r="AH38" s="51" t="n">
        <v>9.800000000000001</v>
      </c>
      <c r="AI38" s="29" t="inlineStr">
        <is>
          <t>8 - REGULAR / NORMAL</t>
        </is>
      </c>
      <c r="AJ38" s="39" t="inlineStr">
        <is>
          <t>M - Centralizado via CD</t>
        </is>
      </c>
      <c r="AK38" s="29" t="inlineStr">
        <is>
          <t>Regular / Normal</t>
        </is>
      </c>
    </row>
    <row r="39" ht="20" customHeight="1">
      <c r="A39" s="58" t="n">
        <v>4</v>
      </c>
      <c r="B39" s="58" t="n">
        <v>2799</v>
      </c>
      <c r="C39" s="59" t="inlineStr">
        <is>
          <t>FAROFA MANDIOCA YOKI 400G TRADICIONAL</t>
        </is>
      </c>
      <c r="D39" s="59" t="inlineStr">
        <is>
          <t>MERCEARIA</t>
        </is>
      </c>
      <c r="E39" s="59" t="inlineStr">
        <is>
          <t>MERCEARIA SECA</t>
        </is>
      </c>
      <c r="F39" s="59" t="inlineStr">
        <is>
          <t>NIDAL</t>
        </is>
      </c>
      <c r="G39" s="59" t="inlineStr">
        <is>
          <t>3527 - FABIANO ZAFFALON E CIA LTDA</t>
        </is>
      </c>
      <c r="H39" s="47" t="inlineStr">
        <is>
          <t>M</t>
        </is>
      </c>
      <c r="I39" s="58" t="n">
        <v>24</v>
      </c>
      <c r="J39" s="58" t="n">
        <v>24</v>
      </c>
      <c r="K39" s="60" t="n">
        <v>220</v>
      </c>
      <c r="L39" s="60" t="n">
        <v>220</v>
      </c>
      <c r="M39" s="60" t="n">
        <v>0</v>
      </c>
      <c r="N39" s="60" t="n">
        <v>36</v>
      </c>
      <c r="O39" s="60" t="n">
        <v>60</v>
      </c>
      <c r="P39" s="60" t="n">
        <v>120</v>
      </c>
      <c r="Q39" s="60" t="n">
        <v>240</v>
      </c>
      <c r="R39" s="58" t="n">
        <v>1</v>
      </c>
      <c r="S39" s="61" t="n">
        <v>156</v>
      </c>
      <c r="T39" s="61" t="n">
        <v>300</v>
      </c>
      <c r="U39" s="60" t="n">
        <v>576</v>
      </c>
      <c r="V39" s="60" t="n">
        <v>576</v>
      </c>
      <c r="W39" s="60" t="n">
        <v>0</v>
      </c>
      <c r="X39" s="60" t="n">
        <v>0</v>
      </c>
      <c r="Y39" s="60" t="n">
        <v>78</v>
      </c>
      <c r="Z39" s="62" t="n">
        <v>638.3200000000001</v>
      </c>
      <c r="AA39" s="63" t="n">
        <v>2.6</v>
      </c>
      <c r="AB39" s="63" t="n">
        <v>84.59999999999999</v>
      </c>
      <c r="AC39" s="63" t="n">
        <v>306.2</v>
      </c>
      <c r="AD39" s="60" t="n">
        <v>0</v>
      </c>
      <c r="AE39" s="60" t="n">
        <v>0</v>
      </c>
      <c r="AF39" s="60" t="n">
        <v>0</v>
      </c>
      <c r="AG39" s="60" t="n">
        <v>0</v>
      </c>
      <c r="AH39" s="63" t="n">
        <v>84.59999999999999</v>
      </c>
      <c r="AI39" s="29" t="inlineStr">
        <is>
          <t>8 - REGULAR / NORMAL</t>
        </is>
      </c>
      <c r="AJ39" s="39" t="inlineStr">
        <is>
          <t>M - Centralizado via CD</t>
        </is>
      </c>
      <c r="AK39" s="29" t="inlineStr">
        <is>
          <t>Regular / Normal</t>
        </is>
      </c>
    </row>
    <row r="40" ht="20" customHeight="1">
      <c r="A40" s="45" t="n">
        <v>4</v>
      </c>
      <c r="B40" s="45" t="n">
        <v>19312</v>
      </c>
      <c r="C40" s="46" t="inlineStr">
        <is>
          <t>COT HASTES FLEX COTTONBABY C 75</t>
        </is>
      </c>
      <c r="D40" s="46" t="inlineStr">
        <is>
          <t>PERFUMARIA E LIMPEZA</t>
        </is>
      </c>
      <c r="E40" s="46" t="inlineStr">
        <is>
          <t>PERFUMARIA</t>
        </is>
      </c>
      <c r="F40" s="46" t="inlineStr">
        <is>
          <t>BATISTA</t>
        </is>
      </c>
      <c r="G40" s="46" t="inlineStr">
        <is>
          <t>6567 - HIGIE-PLUS INDUSTRIA E COM.LTDA</t>
        </is>
      </c>
      <c r="H40" s="47" t="inlineStr">
        <is>
          <t>M</t>
        </is>
      </c>
      <c r="I40" s="45" t="n">
        <v>72</v>
      </c>
      <c r="J40" s="45" t="n">
        <v>72</v>
      </c>
      <c r="K40" s="48" t="n">
        <v>75</v>
      </c>
      <c r="L40" s="48" t="n">
        <v>75</v>
      </c>
      <c r="M40" s="48" t="n">
        <v>0</v>
      </c>
      <c r="N40" s="48" t="n">
        <v>44</v>
      </c>
      <c r="O40" s="48" t="n">
        <v>116</v>
      </c>
      <c r="P40" s="48" t="n">
        <v>0</v>
      </c>
      <c r="Q40" s="48" t="n">
        <v>0</v>
      </c>
      <c r="R40" s="45" t="n">
        <v>0</v>
      </c>
      <c r="S40" s="49" t="n">
        <v>44</v>
      </c>
      <c r="T40" s="49" t="n">
        <v>116</v>
      </c>
      <c r="U40" s="48" t="n">
        <v>792</v>
      </c>
      <c r="V40" s="48" t="n">
        <v>792</v>
      </c>
      <c r="W40" s="48" t="n">
        <v>0</v>
      </c>
      <c r="X40" s="48" t="n">
        <v>0</v>
      </c>
      <c r="Y40" s="48" t="n">
        <v>94</v>
      </c>
      <c r="Z40" s="50" t="n">
        <v>361.46</v>
      </c>
      <c r="AA40" s="51" t="n">
        <v>3.13</v>
      </c>
      <c r="AB40" s="51" t="n">
        <v>24</v>
      </c>
      <c r="AC40" s="51" t="n">
        <v>277</v>
      </c>
      <c r="AD40" s="48" t="n">
        <v>0</v>
      </c>
      <c r="AE40" s="48" t="n">
        <v>0</v>
      </c>
      <c r="AF40" s="48" t="n">
        <v>0</v>
      </c>
      <c r="AG40" s="48" t="n">
        <v>0</v>
      </c>
      <c r="AH40" s="51" t="n">
        <v>24</v>
      </c>
      <c r="AI40" s="29" t="inlineStr">
        <is>
          <t>8 - REGULAR / NORMAL</t>
        </is>
      </c>
      <c r="AJ40" s="39" t="inlineStr">
        <is>
          <t>M - Centralizado via CD</t>
        </is>
      </c>
      <c r="AK40" s="29" t="inlineStr">
        <is>
          <t>Regular / Normal</t>
        </is>
      </c>
    </row>
    <row r="41" ht="20" customHeight="1">
      <c r="A41" s="52" t="n">
        <v>4</v>
      </c>
      <c r="B41" s="52" t="n">
        <v>17315</v>
      </c>
      <c r="C41" s="53" t="inlineStr">
        <is>
          <t>DESOD ROLLON REXONA 50ML V8</t>
        </is>
      </c>
      <c r="D41" s="53" t="inlineStr">
        <is>
          <t>PERFUMARIA E LIMPEZA</t>
        </is>
      </c>
      <c r="E41" s="53" t="inlineStr">
        <is>
          <t>PERFUMARIA</t>
        </is>
      </c>
      <c r="F41" s="53" t="inlineStr">
        <is>
          <t>BATISTA</t>
        </is>
      </c>
      <c r="G41" s="53" t="inlineStr">
        <is>
          <t>5894 - UNIDASUL DISTRIBUIDORA ALIMENTICIA S/A</t>
        </is>
      </c>
      <c r="H41" s="47" t="inlineStr">
        <is>
          <t>M</t>
        </is>
      </c>
      <c r="I41" s="52" t="n">
        <v>12</v>
      </c>
      <c r="J41" s="52" t="n">
        <v>12</v>
      </c>
      <c r="K41" s="54" t="n">
        <v>29</v>
      </c>
      <c r="L41" s="54" t="n">
        <v>29</v>
      </c>
      <c r="M41" s="54" t="n">
        <v>0</v>
      </c>
      <c r="N41" s="54" t="n">
        <v>22</v>
      </c>
      <c r="O41" s="54" t="n">
        <v>34</v>
      </c>
      <c r="P41" s="54" t="n">
        <v>0</v>
      </c>
      <c r="Q41" s="54" t="n">
        <v>0</v>
      </c>
      <c r="R41" s="52" t="n">
        <v>0</v>
      </c>
      <c r="S41" s="55" t="n">
        <v>22</v>
      </c>
      <c r="T41" s="55" t="n">
        <v>34</v>
      </c>
      <c r="U41" s="54" t="n">
        <v>1032</v>
      </c>
      <c r="V41" s="54" t="n">
        <v>1032</v>
      </c>
      <c r="W41" s="54" t="n">
        <v>0</v>
      </c>
      <c r="X41" s="54" t="n">
        <v>0</v>
      </c>
      <c r="Y41" s="54" t="n">
        <v>8</v>
      </c>
      <c r="Z41" s="56" t="n">
        <v>79.42</v>
      </c>
      <c r="AA41" s="57" t="n">
        <v>0.27</v>
      </c>
      <c r="AB41" s="57" t="n">
        <v>107.4</v>
      </c>
      <c r="AC41" s="57" t="n">
        <v>3929.6</v>
      </c>
      <c r="AD41" s="54" t="n">
        <v>0</v>
      </c>
      <c r="AE41" s="54" t="n">
        <v>0</v>
      </c>
      <c r="AF41" s="54" t="n">
        <v>0</v>
      </c>
      <c r="AG41" s="54" t="n">
        <v>0</v>
      </c>
      <c r="AH41" s="57" t="n">
        <v>107.4</v>
      </c>
      <c r="AI41" s="29" t="inlineStr">
        <is>
          <t>8 - REGULAR / NORMAL</t>
        </is>
      </c>
      <c r="AJ41" s="39" t="inlineStr">
        <is>
          <t>M - Centralizado via CD</t>
        </is>
      </c>
      <c r="AK41" s="29" t="inlineStr">
        <is>
          <t>Regular / Normal</t>
        </is>
      </c>
    </row>
    <row r="42" ht="20" customHeight="1">
      <c r="A42" s="45" t="n">
        <v>5</v>
      </c>
      <c r="B42" s="45" t="n">
        <v>812</v>
      </c>
      <c r="C42" s="46" t="inlineStr">
        <is>
          <t>REFRIG FANTA UVA PET 2L</t>
        </is>
      </c>
      <c r="D42" s="46" t="inlineStr">
        <is>
          <t>BEBIDAS</t>
        </is>
      </c>
      <c r="E42" s="46" t="inlineStr">
        <is>
          <t>BEBIDA</t>
        </is>
      </c>
      <c r="F42" s="46" t="inlineStr">
        <is>
          <t>NICOLAS</t>
        </is>
      </c>
      <c r="G42" s="46" t="inlineStr">
        <is>
          <t>15441 - SPAL IND BRAS BEBIDAS AS</t>
        </is>
      </c>
      <c r="H42" s="47" t="inlineStr">
        <is>
          <t>M</t>
        </is>
      </c>
      <c r="I42" s="45" t="n">
        <v>8</v>
      </c>
      <c r="J42" s="45" t="n">
        <v>8</v>
      </c>
      <c r="K42" s="48" t="n">
        <v>95</v>
      </c>
      <c r="L42" s="48" t="n">
        <v>95</v>
      </c>
      <c r="M42" s="48" t="n">
        <v>0</v>
      </c>
      <c r="N42" s="48" t="n">
        <v>68</v>
      </c>
      <c r="O42" s="48" t="n">
        <v>108</v>
      </c>
      <c r="P42" s="48" t="n">
        <v>0</v>
      </c>
      <c r="Q42" s="48" t="n">
        <v>0</v>
      </c>
      <c r="R42" s="45" t="n">
        <v>0</v>
      </c>
      <c r="S42" s="49" t="n">
        <v>68</v>
      </c>
      <c r="T42" s="49" t="n">
        <v>108</v>
      </c>
      <c r="U42" s="48" t="n">
        <v>336</v>
      </c>
      <c r="V42" s="48" t="n">
        <v>336</v>
      </c>
      <c r="W42" s="48" t="n">
        <v>0</v>
      </c>
      <c r="X42" s="48" t="n">
        <v>0</v>
      </c>
      <c r="Y42" s="48" t="n">
        <v>269</v>
      </c>
      <c r="Z42" s="50" t="n">
        <v>2364.51</v>
      </c>
      <c r="AA42" s="51" t="n">
        <v>8.970000000000001</v>
      </c>
      <c r="AB42" s="51" t="n">
        <v>10.6</v>
      </c>
      <c r="AC42" s="51" t="n">
        <v>48</v>
      </c>
      <c r="AD42" s="48" t="n">
        <v>0</v>
      </c>
      <c r="AE42" s="48" t="n">
        <v>0</v>
      </c>
      <c r="AF42" s="48" t="n">
        <v>8</v>
      </c>
      <c r="AG42" s="48" t="n">
        <v>8</v>
      </c>
      <c r="AH42" s="51" t="n">
        <v>11.5</v>
      </c>
      <c r="AI42" s="29" t="inlineStr">
        <is>
          <t>8 - REGULAR / NORMAL</t>
        </is>
      </c>
      <c r="AJ42" s="39" t="inlineStr">
        <is>
          <t>M - Centralizado via CD</t>
        </is>
      </c>
      <c r="AK42" s="29" t="inlineStr">
        <is>
          <t>Regular / Normal</t>
        </is>
      </c>
    </row>
    <row r="43" ht="20" customHeight="1">
      <c r="A43" s="58" t="n">
        <v>5</v>
      </c>
      <c r="B43" s="58" t="n">
        <v>2799</v>
      </c>
      <c r="C43" s="59" t="inlineStr">
        <is>
          <t>FAROFA MANDIOCA YOKI 400G TRADICIONAL</t>
        </is>
      </c>
      <c r="D43" s="59" t="inlineStr">
        <is>
          <t>MERCEARIA</t>
        </is>
      </c>
      <c r="E43" s="59" t="inlineStr">
        <is>
          <t>MERCEARIA SECA</t>
        </is>
      </c>
      <c r="F43" s="59" t="inlineStr">
        <is>
          <t>NIDAL</t>
        </is>
      </c>
      <c r="G43" s="59" t="inlineStr">
        <is>
          <t>3527 - FABIANO ZAFFALON E CIA LTDA</t>
        </is>
      </c>
      <c r="H43" s="47" t="inlineStr">
        <is>
          <t>M</t>
        </is>
      </c>
      <c r="I43" s="58" t="n">
        <v>24</v>
      </c>
      <c r="J43" s="58" t="n">
        <v>24</v>
      </c>
      <c r="K43" s="60" t="n">
        <v>169</v>
      </c>
      <c r="L43" s="60" t="n">
        <v>169</v>
      </c>
      <c r="M43" s="60" t="n">
        <v>0</v>
      </c>
      <c r="N43" s="60" t="n">
        <v>16</v>
      </c>
      <c r="O43" s="60" t="n">
        <v>40</v>
      </c>
      <c r="P43" s="60" t="n">
        <v>120</v>
      </c>
      <c r="Q43" s="60" t="n">
        <v>240</v>
      </c>
      <c r="R43" s="58" t="n">
        <v>1</v>
      </c>
      <c r="S43" s="61" t="n">
        <v>136</v>
      </c>
      <c r="T43" s="61" t="n">
        <v>280</v>
      </c>
      <c r="U43" s="60" t="n">
        <v>576</v>
      </c>
      <c r="V43" s="60" t="n">
        <v>576</v>
      </c>
      <c r="W43" s="60" t="n">
        <v>0</v>
      </c>
      <c r="X43" s="60" t="n">
        <v>0</v>
      </c>
      <c r="Y43" s="60" t="n">
        <v>155</v>
      </c>
      <c r="Z43" s="62" t="n">
        <v>1218.45</v>
      </c>
      <c r="AA43" s="63" t="n">
        <v>5.17</v>
      </c>
      <c r="AB43" s="63" t="n">
        <v>32.7</v>
      </c>
      <c r="AC43" s="63" t="n">
        <v>144.1</v>
      </c>
      <c r="AD43" s="60" t="n">
        <v>0</v>
      </c>
      <c r="AE43" s="60" t="n">
        <v>0</v>
      </c>
      <c r="AF43" s="60" t="n">
        <v>0</v>
      </c>
      <c r="AG43" s="60" t="n">
        <v>0</v>
      </c>
      <c r="AH43" s="63" t="n">
        <v>32.7</v>
      </c>
      <c r="AI43" s="29" t="inlineStr">
        <is>
          <t>8 - REGULAR / NORMAL</t>
        </is>
      </c>
      <c r="AJ43" s="39" t="inlineStr">
        <is>
          <t>M - Centralizado via CD</t>
        </is>
      </c>
      <c r="AK43" s="29" t="inlineStr">
        <is>
          <t>Regular / Normal</t>
        </is>
      </c>
    </row>
    <row r="44" ht="20" customHeight="1">
      <c r="A44" s="45" t="n">
        <v>6</v>
      </c>
      <c r="B44" s="45" t="n">
        <v>2020</v>
      </c>
      <c r="C44" s="46" t="inlineStr">
        <is>
          <t>CAFE VACUO MELITTA 500G EXTRA FORTE</t>
        </is>
      </c>
      <c r="D44" s="46" t="inlineStr">
        <is>
          <t>MERCEARIA</t>
        </is>
      </c>
      <c r="E44" s="46" t="inlineStr">
        <is>
          <t>MERCEARIA SECA</t>
        </is>
      </c>
      <c r="F44" s="46" t="inlineStr">
        <is>
          <t>WERTER</t>
        </is>
      </c>
      <c r="G44" s="46" t="inlineStr">
        <is>
          <t>10368 - MELITTA DO BRASIL E COMERCIO LTDA.</t>
        </is>
      </c>
      <c r="H44" s="47" t="inlineStr">
        <is>
          <t>M</t>
        </is>
      </c>
      <c r="I44" s="45" t="n">
        <v>20</v>
      </c>
      <c r="J44" s="45" t="n">
        <v>20</v>
      </c>
      <c r="K44" s="48" t="n">
        <v>20</v>
      </c>
      <c r="L44" s="48" t="n">
        <v>20</v>
      </c>
      <c r="M44" s="48" t="n">
        <v>0</v>
      </c>
      <c r="N44" s="48" t="n">
        <v>12</v>
      </c>
      <c r="O44" s="48" t="n">
        <v>32</v>
      </c>
      <c r="P44" s="48" t="n">
        <v>0</v>
      </c>
      <c r="Q44" s="48" t="n">
        <v>0</v>
      </c>
      <c r="R44" s="45" t="n">
        <v>0</v>
      </c>
      <c r="S44" s="49" t="n">
        <v>12</v>
      </c>
      <c r="T44" s="49" t="n">
        <v>32</v>
      </c>
      <c r="U44" s="48" t="n">
        <v>401</v>
      </c>
      <c r="V44" s="48" t="n">
        <v>400</v>
      </c>
      <c r="W44" s="48" t="n">
        <v>0</v>
      </c>
      <c r="X44" s="48" t="n">
        <v>1</v>
      </c>
      <c r="Y44" s="48" t="n">
        <v>60</v>
      </c>
      <c r="Z44" s="50" t="n">
        <v>1638.51</v>
      </c>
      <c r="AA44" s="51" t="n">
        <v>2</v>
      </c>
      <c r="AB44" s="51" t="n">
        <v>10</v>
      </c>
      <c r="AC44" s="51" t="n">
        <v>210.5</v>
      </c>
      <c r="AD44" s="48" t="n">
        <v>0</v>
      </c>
      <c r="AE44" s="48" t="n">
        <v>0</v>
      </c>
      <c r="AF44" s="48" t="n">
        <v>0</v>
      </c>
      <c r="AG44" s="48" t="n">
        <v>0</v>
      </c>
      <c r="AH44" s="51" t="n">
        <v>10</v>
      </c>
      <c r="AI44" s="29" t="inlineStr">
        <is>
          <t>8 - REGULAR / NORMAL</t>
        </is>
      </c>
      <c r="AJ44" s="39" t="inlineStr">
        <is>
          <t>M - Centralizado via CD</t>
        </is>
      </c>
      <c r="AK44" s="29" t="inlineStr">
        <is>
          <t>Regular / Normal</t>
        </is>
      </c>
    </row>
    <row r="45" ht="20" customHeight="1">
      <c r="A45" s="58" t="n">
        <v>6</v>
      </c>
      <c r="B45" s="58" t="n">
        <v>2799</v>
      </c>
      <c r="C45" s="59" t="inlineStr">
        <is>
          <t>FAROFA MANDIOCA YOKI 400G TRADICIONAL</t>
        </is>
      </c>
      <c r="D45" s="59" t="inlineStr">
        <is>
          <t>MERCEARIA</t>
        </is>
      </c>
      <c r="E45" s="59" t="inlineStr">
        <is>
          <t>MERCEARIA SECA</t>
        </is>
      </c>
      <c r="F45" s="59" t="inlineStr">
        <is>
          <t>NIDAL</t>
        </is>
      </c>
      <c r="G45" s="59" t="inlineStr">
        <is>
          <t>3527 - FABIANO ZAFFALON E CIA LTDA</t>
        </is>
      </c>
      <c r="H45" s="47" t="inlineStr">
        <is>
          <t>M</t>
        </is>
      </c>
      <c r="I45" s="58" t="n">
        <v>24</v>
      </c>
      <c r="J45" s="58" t="n">
        <v>24</v>
      </c>
      <c r="K45" s="60" t="n">
        <v>352</v>
      </c>
      <c r="L45" s="60" t="n">
        <v>352</v>
      </c>
      <c r="M45" s="60" t="n">
        <v>0</v>
      </c>
      <c r="N45" s="60" t="n">
        <v>102</v>
      </c>
      <c r="O45" s="60" t="n">
        <v>150</v>
      </c>
      <c r="P45" s="60" t="n">
        <v>240</v>
      </c>
      <c r="Q45" s="60" t="n">
        <v>360</v>
      </c>
      <c r="R45" s="58" t="n">
        <v>1</v>
      </c>
      <c r="S45" s="61" t="n">
        <v>342</v>
      </c>
      <c r="T45" s="61" t="n">
        <v>510</v>
      </c>
      <c r="U45" s="60" t="n">
        <v>576</v>
      </c>
      <c r="V45" s="60" t="n">
        <v>576</v>
      </c>
      <c r="W45" s="60" t="n">
        <v>0</v>
      </c>
      <c r="X45" s="60" t="n">
        <v>0</v>
      </c>
      <c r="Y45" s="60" t="n">
        <v>403</v>
      </c>
      <c r="Z45" s="62" t="n">
        <v>3310.07</v>
      </c>
      <c r="AA45" s="63" t="n">
        <v>13.43</v>
      </c>
      <c r="AB45" s="63" t="n">
        <v>26.2</v>
      </c>
      <c r="AC45" s="63" t="n">
        <v>69.09999999999999</v>
      </c>
      <c r="AD45" s="60" t="n">
        <v>0</v>
      </c>
      <c r="AE45" s="60" t="n">
        <v>0</v>
      </c>
      <c r="AF45" s="60" t="n">
        <v>0</v>
      </c>
      <c r="AG45" s="60" t="n">
        <v>0</v>
      </c>
      <c r="AH45" s="63" t="n">
        <v>26.2</v>
      </c>
      <c r="AI45" s="29" t="inlineStr">
        <is>
          <t>8 - REGULAR / NORMAL</t>
        </is>
      </c>
      <c r="AJ45" s="39" t="inlineStr">
        <is>
          <t>M - Centralizado via CD</t>
        </is>
      </c>
      <c r="AK45" s="29" t="inlineStr">
        <is>
          <t>Regular / Normal</t>
        </is>
      </c>
    </row>
    <row r="46" ht="20" customHeight="1">
      <c r="A46" s="45" t="n">
        <v>6</v>
      </c>
      <c r="B46" s="45" t="n">
        <v>19312</v>
      </c>
      <c r="C46" s="46" t="inlineStr">
        <is>
          <t>COT HASTES FLEX COTTONBABY C 75</t>
        </is>
      </c>
      <c r="D46" s="46" t="inlineStr">
        <is>
          <t>PERFUMARIA E LIMPEZA</t>
        </is>
      </c>
      <c r="E46" s="46" t="inlineStr">
        <is>
          <t>PERFUMARIA</t>
        </is>
      </c>
      <c r="F46" s="46" t="inlineStr">
        <is>
          <t>BATISTA</t>
        </is>
      </c>
      <c r="G46" s="46" t="inlineStr">
        <is>
          <t>6567 - HIGIE-PLUS INDUSTRIA E COM.LTDA</t>
        </is>
      </c>
      <c r="H46" s="47" t="inlineStr">
        <is>
          <t>M</t>
        </is>
      </c>
      <c r="I46" s="45" t="n">
        <v>72</v>
      </c>
      <c r="J46" s="45" t="n">
        <v>72</v>
      </c>
      <c r="K46" s="48" t="n">
        <v>107</v>
      </c>
      <c r="L46" s="48" t="n">
        <v>107</v>
      </c>
      <c r="M46" s="48" t="n">
        <v>0</v>
      </c>
      <c r="N46" s="48" t="n">
        <v>64</v>
      </c>
      <c r="O46" s="48" t="n">
        <v>136</v>
      </c>
      <c r="P46" s="48" t="n">
        <v>0</v>
      </c>
      <c r="Q46" s="48" t="n">
        <v>0</v>
      </c>
      <c r="R46" s="45" t="n">
        <v>0</v>
      </c>
      <c r="S46" s="49" t="n">
        <v>64</v>
      </c>
      <c r="T46" s="49" t="n">
        <v>136</v>
      </c>
      <c r="U46" s="48" t="n">
        <v>792</v>
      </c>
      <c r="V46" s="48" t="n">
        <v>792</v>
      </c>
      <c r="W46" s="48" t="n">
        <v>0</v>
      </c>
      <c r="X46" s="48" t="n">
        <v>0</v>
      </c>
      <c r="Y46" s="48" t="n">
        <v>205</v>
      </c>
      <c r="Z46" s="50" t="n">
        <v>785.55</v>
      </c>
      <c r="AA46" s="51" t="n">
        <v>6.83</v>
      </c>
      <c r="AB46" s="51" t="n">
        <v>15.7</v>
      </c>
      <c r="AC46" s="51" t="n">
        <v>131.6</v>
      </c>
      <c r="AD46" s="48" t="n">
        <v>0</v>
      </c>
      <c r="AE46" s="48" t="n">
        <v>0</v>
      </c>
      <c r="AF46" s="48" t="n">
        <v>0</v>
      </c>
      <c r="AG46" s="48" t="n">
        <v>0</v>
      </c>
      <c r="AH46" s="51" t="n">
        <v>15.7</v>
      </c>
      <c r="AI46" s="29" t="inlineStr">
        <is>
          <t>8 - REGULAR / NORMAL</t>
        </is>
      </c>
      <c r="AJ46" s="39" t="inlineStr">
        <is>
          <t>M - Centralizado via CD</t>
        </is>
      </c>
      <c r="AK46" s="29" t="inlineStr">
        <is>
          <t>Regular / Normal</t>
        </is>
      </c>
    </row>
    <row r="47" ht="20" customHeight="1">
      <c r="A47" s="52" t="n">
        <v>7</v>
      </c>
      <c r="B47" s="52" t="n">
        <v>899</v>
      </c>
      <c r="C47" s="53" t="inlineStr">
        <is>
          <t>REFRIG FANTA UVA LT 350ML</t>
        </is>
      </c>
      <c r="D47" s="53" t="inlineStr">
        <is>
          <t>BEBIDAS</t>
        </is>
      </c>
      <c r="E47" s="53" t="inlineStr">
        <is>
          <t>BEBIDA</t>
        </is>
      </c>
      <c r="F47" s="53" t="inlineStr">
        <is>
          <t>NICOLAS</t>
        </is>
      </c>
      <c r="G47" s="53" t="inlineStr">
        <is>
          <t>15441 - SPAL IND BRAS BEBIDAS AS</t>
        </is>
      </c>
      <c r="H47" s="47" t="inlineStr">
        <is>
          <t>M</t>
        </is>
      </c>
      <c r="I47" s="52" t="n">
        <v>6</v>
      </c>
      <c r="J47" s="52" t="n">
        <v>6</v>
      </c>
      <c r="K47" s="54" t="n">
        <v>60</v>
      </c>
      <c r="L47" s="54" t="n">
        <v>60</v>
      </c>
      <c r="M47" s="54" t="n">
        <v>0</v>
      </c>
      <c r="N47" s="54" t="n">
        <v>56</v>
      </c>
      <c r="O47" s="54" t="n">
        <v>92</v>
      </c>
      <c r="P47" s="54" t="n">
        <v>0</v>
      </c>
      <c r="Q47" s="54" t="n">
        <v>0</v>
      </c>
      <c r="R47" s="52" t="n">
        <v>0</v>
      </c>
      <c r="S47" s="55" t="n">
        <v>56</v>
      </c>
      <c r="T47" s="55" t="n">
        <v>92</v>
      </c>
      <c r="U47" s="54" t="n">
        <v>74</v>
      </c>
      <c r="V47" s="54" t="n">
        <v>74</v>
      </c>
      <c r="W47" s="54" t="n">
        <v>0</v>
      </c>
      <c r="X47" s="54" t="n">
        <v>0</v>
      </c>
      <c r="Y47" s="54" t="n">
        <v>198</v>
      </c>
      <c r="Z47" s="56" t="n">
        <v>673.02</v>
      </c>
      <c r="AA47" s="57" t="n">
        <v>6.6</v>
      </c>
      <c r="AB47" s="57" t="n">
        <v>9.1</v>
      </c>
      <c r="AC47" s="57" t="n">
        <v>20.3</v>
      </c>
      <c r="AD47" s="54" t="n">
        <v>0</v>
      </c>
      <c r="AE47" s="54" t="n">
        <v>0</v>
      </c>
      <c r="AF47" s="54" t="n">
        <v>60</v>
      </c>
      <c r="AG47" s="54" t="n">
        <v>60</v>
      </c>
      <c r="AH47" s="57" t="n">
        <v>18.2</v>
      </c>
      <c r="AI47" s="29" t="inlineStr">
        <is>
          <t>8 - REGULAR / NORMAL</t>
        </is>
      </c>
      <c r="AJ47" s="39" t="inlineStr">
        <is>
          <t>M - Centralizado via CD</t>
        </is>
      </c>
      <c r="AK47" s="29" t="inlineStr">
        <is>
          <t>Regular / Normal</t>
        </is>
      </c>
    </row>
    <row r="48" ht="20" customHeight="1">
      <c r="A48" s="45" t="n">
        <v>7</v>
      </c>
      <c r="B48" s="45" t="n">
        <v>2047</v>
      </c>
      <c r="C48" s="46" t="inlineStr">
        <is>
          <t>CAFE SOL IGUACU LT LV200G PG190G TRAD</t>
        </is>
      </c>
      <c r="D48" s="46" t="inlineStr">
        <is>
          <t>MERCEARIA</t>
        </is>
      </c>
      <c r="E48" s="46" t="inlineStr">
        <is>
          <t>MERCEARIA SECA</t>
        </is>
      </c>
      <c r="F48" s="46" t="inlineStr">
        <is>
          <t>WERTER</t>
        </is>
      </c>
      <c r="G48" s="46" t="inlineStr">
        <is>
          <t>8702 - CAFE TRES CORACOES S.A</t>
        </is>
      </c>
      <c r="H48" s="47" t="inlineStr">
        <is>
          <t>M</t>
        </is>
      </c>
      <c r="I48" s="45" t="n">
        <v>12</v>
      </c>
      <c r="J48" s="45" t="n">
        <v>12</v>
      </c>
      <c r="K48" s="48" t="n">
        <v>50</v>
      </c>
      <c r="L48" s="48" t="n">
        <v>50</v>
      </c>
      <c r="M48" s="48" t="n">
        <v>0</v>
      </c>
      <c r="N48" s="48" t="n">
        <v>36</v>
      </c>
      <c r="O48" s="48" t="n">
        <v>60</v>
      </c>
      <c r="P48" s="48" t="n">
        <v>0</v>
      </c>
      <c r="Q48" s="48" t="n">
        <v>0</v>
      </c>
      <c r="R48" s="45" t="n">
        <v>0</v>
      </c>
      <c r="S48" s="49" t="n">
        <v>36</v>
      </c>
      <c r="T48" s="49" t="n">
        <v>60</v>
      </c>
      <c r="U48" s="48" t="n">
        <v>3168</v>
      </c>
      <c r="V48" s="48" t="n">
        <v>3168</v>
      </c>
      <c r="W48" s="48" t="n">
        <v>0</v>
      </c>
      <c r="X48" s="48" t="n">
        <v>0</v>
      </c>
      <c r="Y48" s="48" t="n">
        <v>24</v>
      </c>
      <c r="Z48" s="50" t="n">
        <v>635.76</v>
      </c>
      <c r="AA48" s="51" t="n">
        <v>0.8</v>
      </c>
      <c r="AB48" s="51" t="n">
        <v>62.5</v>
      </c>
      <c r="AC48" s="51" t="n">
        <v>4022.5</v>
      </c>
      <c r="AD48" s="48" t="n">
        <v>0</v>
      </c>
      <c r="AE48" s="48" t="n">
        <v>0</v>
      </c>
      <c r="AF48" s="48" t="n">
        <v>0</v>
      </c>
      <c r="AG48" s="48" t="n">
        <v>0</v>
      </c>
      <c r="AH48" s="51" t="n">
        <v>62.5</v>
      </c>
      <c r="AI48" s="29" t="inlineStr">
        <is>
          <t>8 - REGULAR / NORMAL</t>
        </is>
      </c>
      <c r="AJ48" s="39" t="inlineStr">
        <is>
          <t>M - Centralizado via CD</t>
        </is>
      </c>
      <c r="AK48" s="29" t="inlineStr">
        <is>
          <t>Regular / Normal</t>
        </is>
      </c>
    </row>
    <row r="49" ht="20" customHeight="1">
      <c r="A49" s="52" t="n">
        <v>7</v>
      </c>
      <c r="B49" s="52" t="n">
        <v>2020</v>
      </c>
      <c r="C49" s="53" t="inlineStr">
        <is>
          <t>CAFE VACUO MELITTA 500G EXTRA FORTE</t>
        </is>
      </c>
      <c r="D49" s="53" t="inlineStr">
        <is>
          <t>MERCEARIA</t>
        </is>
      </c>
      <c r="E49" s="53" t="inlineStr">
        <is>
          <t>MERCEARIA SECA</t>
        </is>
      </c>
      <c r="F49" s="53" t="inlineStr">
        <is>
          <t>WERTER</t>
        </is>
      </c>
      <c r="G49" s="53" t="inlineStr">
        <is>
          <t>10368 - MELITTA DO BRASIL E COMERCIO LTDA.</t>
        </is>
      </c>
      <c r="H49" s="47" t="inlineStr">
        <is>
          <t>M</t>
        </is>
      </c>
      <c r="I49" s="52" t="n">
        <v>20</v>
      </c>
      <c r="J49" s="52" t="n">
        <v>20</v>
      </c>
      <c r="K49" s="54" t="n">
        <v>39</v>
      </c>
      <c r="L49" s="54" t="n">
        <v>39</v>
      </c>
      <c r="M49" s="54" t="n">
        <v>0</v>
      </c>
      <c r="N49" s="54" t="n">
        <v>22</v>
      </c>
      <c r="O49" s="54" t="n">
        <v>42</v>
      </c>
      <c r="P49" s="54" t="n">
        <v>0</v>
      </c>
      <c r="Q49" s="54" t="n">
        <v>0</v>
      </c>
      <c r="R49" s="52" t="n">
        <v>0</v>
      </c>
      <c r="S49" s="55" t="n">
        <v>22</v>
      </c>
      <c r="T49" s="55" t="n">
        <v>42</v>
      </c>
      <c r="U49" s="54" t="n">
        <v>401</v>
      </c>
      <c r="V49" s="54" t="n">
        <v>400</v>
      </c>
      <c r="W49" s="54" t="n">
        <v>0</v>
      </c>
      <c r="X49" s="54" t="n">
        <v>1</v>
      </c>
      <c r="Y49" s="54" t="n">
        <v>20</v>
      </c>
      <c r="Z49" s="56" t="n">
        <v>542.42</v>
      </c>
      <c r="AA49" s="57" t="n">
        <v>0.67</v>
      </c>
      <c r="AB49" s="57" t="n">
        <v>58.2</v>
      </c>
      <c r="AC49" s="57" t="n">
        <v>656.7</v>
      </c>
      <c r="AD49" s="54" t="n">
        <v>0</v>
      </c>
      <c r="AE49" s="54" t="n">
        <v>0</v>
      </c>
      <c r="AF49" s="54" t="n">
        <v>0</v>
      </c>
      <c r="AG49" s="54" t="n">
        <v>0</v>
      </c>
      <c r="AH49" s="57" t="n">
        <v>58.2</v>
      </c>
      <c r="AI49" s="29" t="inlineStr">
        <is>
          <t>8 - REGULAR / NORMAL</t>
        </is>
      </c>
      <c r="AJ49" s="39" t="inlineStr">
        <is>
          <t>M - Centralizado via CD</t>
        </is>
      </c>
      <c r="AK49" s="29" t="inlineStr">
        <is>
          <t>Regular / Normal</t>
        </is>
      </c>
    </row>
    <row r="50" ht="20" customHeight="1">
      <c r="A50" s="58" t="n">
        <v>7</v>
      </c>
      <c r="B50" s="58" t="n">
        <v>2799</v>
      </c>
      <c r="C50" s="59" t="inlineStr">
        <is>
          <t>FAROFA MANDIOCA YOKI 400G TRADICIONAL</t>
        </is>
      </c>
      <c r="D50" s="59" t="inlineStr">
        <is>
          <t>MERCEARIA</t>
        </is>
      </c>
      <c r="E50" s="59" t="inlineStr">
        <is>
          <t>MERCEARIA SECA</t>
        </is>
      </c>
      <c r="F50" s="59" t="inlineStr">
        <is>
          <t>NIDAL</t>
        </is>
      </c>
      <c r="G50" s="59" t="inlineStr">
        <is>
          <t>3527 - FABIANO ZAFFALON E CIA LTDA</t>
        </is>
      </c>
      <c r="H50" s="47" t="inlineStr">
        <is>
          <t>M</t>
        </is>
      </c>
      <c r="I50" s="58" t="n">
        <v>24</v>
      </c>
      <c r="J50" s="58" t="n">
        <v>24</v>
      </c>
      <c r="K50" s="60" t="n">
        <v>266</v>
      </c>
      <c r="L50" s="60" t="n">
        <v>266</v>
      </c>
      <c r="M50" s="60" t="n">
        <v>0</v>
      </c>
      <c r="N50" s="60" t="n">
        <v>36</v>
      </c>
      <c r="O50" s="60" t="n">
        <v>60</v>
      </c>
      <c r="P50" s="60" t="n">
        <v>120</v>
      </c>
      <c r="Q50" s="60" t="n">
        <v>240</v>
      </c>
      <c r="R50" s="58" t="n">
        <v>1</v>
      </c>
      <c r="S50" s="61" t="n">
        <v>156</v>
      </c>
      <c r="T50" s="61" t="n">
        <v>300</v>
      </c>
      <c r="U50" s="60" t="n">
        <v>576</v>
      </c>
      <c r="V50" s="60" t="n">
        <v>576</v>
      </c>
      <c r="W50" s="60" t="n">
        <v>0</v>
      </c>
      <c r="X50" s="60" t="n">
        <v>0</v>
      </c>
      <c r="Y50" s="60" t="n">
        <v>91</v>
      </c>
      <c r="Z50" s="62" t="n">
        <v>748.09</v>
      </c>
      <c r="AA50" s="63" t="n">
        <v>3.03</v>
      </c>
      <c r="AB50" s="63" t="n">
        <v>87.8</v>
      </c>
      <c r="AC50" s="63" t="n">
        <v>277.9</v>
      </c>
      <c r="AD50" s="60" t="n">
        <v>0</v>
      </c>
      <c r="AE50" s="60" t="n">
        <v>0</v>
      </c>
      <c r="AF50" s="60" t="n">
        <v>0</v>
      </c>
      <c r="AG50" s="60" t="n">
        <v>0</v>
      </c>
      <c r="AH50" s="63" t="n">
        <v>87.8</v>
      </c>
      <c r="AI50" s="29" t="inlineStr">
        <is>
          <t>8 - REGULAR / NORMAL</t>
        </is>
      </c>
      <c r="AJ50" s="39" t="inlineStr">
        <is>
          <t>M - Centralizado via CD</t>
        </is>
      </c>
      <c r="AK50" s="29" t="inlineStr">
        <is>
          <t>Regular / Normal</t>
        </is>
      </c>
    </row>
    <row r="51" ht="20" customHeight="1">
      <c r="A51" s="52" t="n">
        <v>7</v>
      </c>
      <c r="B51" s="52" t="n">
        <v>19312</v>
      </c>
      <c r="C51" s="53" t="inlineStr">
        <is>
          <t>COT HASTES FLEX COTTONBABY C 75</t>
        </is>
      </c>
      <c r="D51" s="53" t="inlineStr">
        <is>
          <t>PERFUMARIA E LIMPEZA</t>
        </is>
      </c>
      <c r="E51" s="53" t="inlineStr">
        <is>
          <t>PERFUMARIA</t>
        </is>
      </c>
      <c r="F51" s="53" t="inlineStr">
        <is>
          <t>BATISTA</t>
        </is>
      </c>
      <c r="G51" s="53" t="inlineStr">
        <is>
          <t>6567 - HIGIE-PLUS INDUSTRIA E COM.LTDA</t>
        </is>
      </c>
      <c r="H51" s="47" t="inlineStr">
        <is>
          <t>M</t>
        </is>
      </c>
      <c r="I51" s="52" t="n">
        <v>72</v>
      </c>
      <c r="J51" s="52" t="n">
        <v>72</v>
      </c>
      <c r="K51" s="54" t="n">
        <v>134</v>
      </c>
      <c r="L51" s="54" t="n">
        <v>134</v>
      </c>
      <c r="M51" s="54" t="n">
        <v>0</v>
      </c>
      <c r="N51" s="54" t="n">
        <v>62</v>
      </c>
      <c r="O51" s="54" t="n">
        <v>134</v>
      </c>
      <c r="P51" s="54" t="n">
        <v>0</v>
      </c>
      <c r="Q51" s="54" t="n">
        <v>0</v>
      </c>
      <c r="R51" s="52" t="n">
        <v>0</v>
      </c>
      <c r="S51" s="55" t="n">
        <v>62</v>
      </c>
      <c r="T51" s="55" t="n">
        <v>134</v>
      </c>
      <c r="U51" s="54" t="n">
        <v>792</v>
      </c>
      <c r="V51" s="54" t="n">
        <v>792</v>
      </c>
      <c r="W51" s="54" t="n">
        <v>0</v>
      </c>
      <c r="X51" s="54" t="n">
        <v>0</v>
      </c>
      <c r="Y51" s="54" t="n">
        <v>209</v>
      </c>
      <c r="Z51" s="56" t="n">
        <v>799.91</v>
      </c>
      <c r="AA51" s="57" t="n">
        <v>6.97</v>
      </c>
      <c r="AB51" s="57" t="n">
        <v>19.2</v>
      </c>
      <c r="AC51" s="57" t="n">
        <v>132.9</v>
      </c>
      <c r="AD51" s="54" t="n">
        <v>0</v>
      </c>
      <c r="AE51" s="54" t="n">
        <v>0</v>
      </c>
      <c r="AF51" s="54" t="n">
        <v>0</v>
      </c>
      <c r="AG51" s="54" t="n">
        <v>0</v>
      </c>
      <c r="AH51" s="57" t="n">
        <v>19.2</v>
      </c>
      <c r="AI51" s="29" t="inlineStr">
        <is>
          <t>8 - REGULAR / NORMAL</t>
        </is>
      </c>
      <c r="AJ51" s="39" t="inlineStr">
        <is>
          <t>M - Centralizado via CD</t>
        </is>
      </c>
      <c r="AK51" s="29" t="inlineStr">
        <is>
          <t>Regular / Normal</t>
        </is>
      </c>
    </row>
    <row r="52" ht="20" customHeight="1">
      <c r="A52" s="45" t="n">
        <v>8</v>
      </c>
      <c r="B52" s="45" t="n">
        <v>19312</v>
      </c>
      <c r="C52" s="46" t="inlineStr">
        <is>
          <t>COT HASTES FLEX COTTONBABY C 75</t>
        </is>
      </c>
      <c r="D52" s="46" t="inlineStr">
        <is>
          <t>PERFUMARIA E LIMPEZA</t>
        </is>
      </c>
      <c r="E52" s="46" t="inlineStr">
        <is>
          <t>PERFUMARIA</t>
        </is>
      </c>
      <c r="F52" s="46" t="inlineStr">
        <is>
          <t>BATISTA</t>
        </is>
      </c>
      <c r="G52" s="46" t="inlineStr">
        <is>
          <t>6567 - HIGIE-PLUS INDUSTRIA E COM.LTDA</t>
        </is>
      </c>
      <c r="H52" s="47" t="inlineStr">
        <is>
          <t>M</t>
        </is>
      </c>
      <c r="I52" s="45" t="n">
        <v>72</v>
      </c>
      <c r="J52" s="45" t="n">
        <v>72</v>
      </c>
      <c r="K52" s="48" t="n">
        <v>98</v>
      </c>
      <c r="L52" s="48" t="n">
        <v>98</v>
      </c>
      <c r="M52" s="48" t="n">
        <v>0</v>
      </c>
      <c r="N52" s="48" t="n">
        <v>44</v>
      </c>
      <c r="O52" s="48" t="n">
        <v>116</v>
      </c>
      <c r="P52" s="48" t="n">
        <v>0</v>
      </c>
      <c r="Q52" s="48" t="n">
        <v>0</v>
      </c>
      <c r="R52" s="45" t="n">
        <v>0</v>
      </c>
      <c r="S52" s="49" t="n">
        <v>44</v>
      </c>
      <c r="T52" s="49" t="n">
        <v>116</v>
      </c>
      <c r="U52" s="48" t="n">
        <v>792</v>
      </c>
      <c r="V52" s="48" t="n">
        <v>792</v>
      </c>
      <c r="W52" s="48" t="n">
        <v>0</v>
      </c>
      <c r="X52" s="48" t="n">
        <v>0</v>
      </c>
      <c r="Y52" s="48" t="n">
        <v>71</v>
      </c>
      <c r="Z52" s="50" t="n">
        <v>273.49</v>
      </c>
      <c r="AA52" s="51" t="n">
        <v>2.37</v>
      </c>
      <c r="AB52" s="51" t="n">
        <v>41.4</v>
      </c>
      <c r="AC52" s="51" t="n">
        <v>375.5</v>
      </c>
      <c r="AD52" s="48" t="n">
        <v>0</v>
      </c>
      <c r="AE52" s="48" t="n">
        <v>0</v>
      </c>
      <c r="AF52" s="48" t="n">
        <v>0</v>
      </c>
      <c r="AG52" s="48" t="n">
        <v>0</v>
      </c>
      <c r="AH52" s="51" t="n">
        <v>41.4</v>
      </c>
      <c r="AI52" s="29" t="inlineStr">
        <is>
          <t>8 - REGULAR / NORMAL</t>
        </is>
      </c>
      <c r="AJ52" s="39" t="inlineStr">
        <is>
          <t>M - Centralizado via CD</t>
        </is>
      </c>
      <c r="AK52" s="29" t="inlineStr">
        <is>
          <t>Regular / Normal</t>
        </is>
      </c>
    </row>
    <row r="53" ht="20" customHeight="1">
      <c r="A53" s="52" t="n">
        <v>11</v>
      </c>
      <c r="B53" s="52" t="n">
        <v>899</v>
      </c>
      <c r="C53" s="53" t="inlineStr">
        <is>
          <t>REFRIG FANTA UVA LT 350ML</t>
        </is>
      </c>
      <c r="D53" s="53" t="inlineStr">
        <is>
          <t>BEBIDAS</t>
        </is>
      </c>
      <c r="E53" s="53" t="inlineStr">
        <is>
          <t>BEBIDA</t>
        </is>
      </c>
      <c r="F53" s="53" t="inlineStr">
        <is>
          <t>NICOLAS</t>
        </is>
      </c>
      <c r="G53" s="53" t="inlineStr">
        <is>
          <t>15441 - SPAL IND BRAS BEBIDAS AS</t>
        </is>
      </c>
      <c r="H53" s="47" t="inlineStr">
        <is>
          <t>M</t>
        </is>
      </c>
      <c r="I53" s="52" t="n">
        <v>6</v>
      </c>
      <c r="J53" s="52" t="n">
        <v>6</v>
      </c>
      <c r="K53" s="54" t="n">
        <v>55</v>
      </c>
      <c r="L53" s="54" t="n">
        <v>55</v>
      </c>
      <c r="M53" s="54" t="n">
        <v>0</v>
      </c>
      <c r="N53" s="54" t="n">
        <v>36</v>
      </c>
      <c r="O53" s="54" t="n">
        <v>60</v>
      </c>
      <c r="P53" s="54" t="n">
        <v>0</v>
      </c>
      <c r="Q53" s="54" t="n">
        <v>0</v>
      </c>
      <c r="R53" s="52" t="n">
        <v>0</v>
      </c>
      <c r="S53" s="55" t="n">
        <v>36</v>
      </c>
      <c r="T53" s="55" t="n">
        <v>60</v>
      </c>
      <c r="U53" s="54" t="n">
        <v>74</v>
      </c>
      <c r="V53" s="54" t="n">
        <v>74</v>
      </c>
      <c r="W53" s="54" t="n">
        <v>0</v>
      </c>
      <c r="X53" s="54" t="n">
        <v>0</v>
      </c>
      <c r="Y53" s="54" t="n">
        <v>121</v>
      </c>
      <c r="Z53" s="56" t="n">
        <v>428.19</v>
      </c>
      <c r="AA53" s="57" t="n">
        <v>4.03</v>
      </c>
      <c r="AB53" s="57" t="n">
        <v>13.6</v>
      </c>
      <c r="AC53" s="57" t="n">
        <v>32</v>
      </c>
      <c r="AD53" s="54" t="n">
        <v>0</v>
      </c>
      <c r="AE53" s="54" t="n">
        <v>0</v>
      </c>
      <c r="AF53" s="54" t="n">
        <v>60</v>
      </c>
      <c r="AG53" s="54" t="n">
        <v>60</v>
      </c>
      <c r="AH53" s="57" t="n">
        <v>28.5</v>
      </c>
      <c r="AI53" s="29" t="inlineStr">
        <is>
          <t>8 - REGULAR / NORMAL</t>
        </is>
      </c>
      <c r="AJ53" s="39" t="inlineStr">
        <is>
          <t>M - Centralizado via CD</t>
        </is>
      </c>
      <c r="AK53" s="29" t="inlineStr">
        <is>
          <t>Regular / Normal</t>
        </is>
      </c>
    </row>
    <row r="54" ht="20" customHeight="1">
      <c r="A54" s="45" t="n">
        <v>11</v>
      </c>
      <c r="B54" s="45" t="n">
        <v>812</v>
      </c>
      <c r="C54" s="46" t="inlineStr">
        <is>
          <t>REFRIG FANTA UVA PET 2L</t>
        </is>
      </c>
      <c r="D54" s="46" t="inlineStr">
        <is>
          <t>BEBIDAS</t>
        </is>
      </c>
      <c r="E54" s="46" t="inlineStr">
        <is>
          <t>BEBIDA</t>
        </is>
      </c>
      <c r="F54" s="46" t="inlineStr">
        <is>
          <t>NICOLAS</t>
        </is>
      </c>
      <c r="G54" s="46" t="inlineStr">
        <is>
          <t>15441 - SPAL IND BRAS BEBIDAS AS</t>
        </is>
      </c>
      <c r="H54" s="47" t="inlineStr">
        <is>
          <t>M</t>
        </is>
      </c>
      <c r="I54" s="45" t="n">
        <v>8</v>
      </c>
      <c r="J54" s="45" t="n">
        <v>8</v>
      </c>
      <c r="K54" s="48" t="n">
        <v>117</v>
      </c>
      <c r="L54" s="48" t="n">
        <v>117</v>
      </c>
      <c r="M54" s="48" t="n">
        <v>0</v>
      </c>
      <c r="N54" s="48" t="n">
        <v>88</v>
      </c>
      <c r="O54" s="48" t="n">
        <v>136</v>
      </c>
      <c r="P54" s="48" t="n">
        <v>0</v>
      </c>
      <c r="Q54" s="48" t="n">
        <v>0</v>
      </c>
      <c r="R54" s="45" t="n">
        <v>0</v>
      </c>
      <c r="S54" s="49" t="n">
        <v>88</v>
      </c>
      <c r="T54" s="49" t="n">
        <v>136</v>
      </c>
      <c r="U54" s="48" t="n">
        <v>336</v>
      </c>
      <c r="V54" s="48" t="n">
        <v>336</v>
      </c>
      <c r="W54" s="48" t="n">
        <v>0</v>
      </c>
      <c r="X54" s="48" t="n">
        <v>0</v>
      </c>
      <c r="Y54" s="48" t="n">
        <v>303</v>
      </c>
      <c r="Z54" s="50" t="n">
        <v>2723.97</v>
      </c>
      <c r="AA54" s="51" t="n">
        <v>10.1</v>
      </c>
      <c r="AB54" s="51" t="n">
        <v>11.6</v>
      </c>
      <c r="AC54" s="51" t="n">
        <v>44.9</v>
      </c>
      <c r="AD54" s="48" t="n">
        <v>0</v>
      </c>
      <c r="AE54" s="48" t="n">
        <v>0</v>
      </c>
      <c r="AF54" s="48" t="n">
        <v>0</v>
      </c>
      <c r="AG54" s="48" t="n">
        <v>0</v>
      </c>
      <c r="AH54" s="51" t="n">
        <v>11.6</v>
      </c>
      <c r="AI54" s="29" t="inlineStr">
        <is>
          <t>8 - REGULAR / NORMAL</t>
        </is>
      </c>
      <c r="AJ54" s="39" t="inlineStr">
        <is>
          <t>M - Centralizado via CD</t>
        </is>
      </c>
      <c r="AK54" s="29" t="inlineStr">
        <is>
          <t>Regular / Normal</t>
        </is>
      </c>
    </row>
    <row r="55" ht="20" customHeight="1">
      <c r="A55" s="52" t="n">
        <v>11</v>
      </c>
      <c r="B55" s="52" t="n">
        <v>19312</v>
      </c>
      <c r="C55" s="53" t="inlineStr">
        <is>
          <t>COT HASTES FLEX COTTONBABY C 75</t>
        </is>
      </c>
      <c r="D55" s="53" t="inlineStr">
        <is>
          <t>PERFUMARIA E LIMPEZA</t>
        </is>
      </c>
      <c r="E55" s="53" t="inlineStr">
        <is>
          <t>PERFUMARIA</t>
        </is>
      </c>
      <c r="F55" s="53" t="inlineStr">
        <is>
          <t>BATISTA</t>
        </is>
      </c>
      <c r="G55" s="53" t="inlineStr">
        <is>
          <t>6567 - HIGIE-PLUS INDUSTRIA E COM.LTDA</t>
        </is>
      </c>
      <c r="H55" s="47" t="inlineStr">
        <is>
          <t>M</t>
        </is>
      </c>
      <c r="I55" s="52" t="n">
        <v>72</v>
      </c>
      <c r="J55" s="52" t="n">
        <v>72</v>
      </c>
      <c r="K55" s="54" t="n">
        <v>118</v>
      </c>
      <c r="L55" s="54" t="n">
        <v>118</v>
      </c>
      <c r="M55" s="54" t="n">
        <v>0</v>
      </c>
      <c r="N55" s="54" t="n">
        <v>88</v>
      </c>
      <c r="O55" s="54" t="n">
        <v>160</v>
      </c>
      <c r="P55" s="54" t="n">
        <v>0</v>
      </c>
      <c r="Q55" s="54" t="n">
        <v>0</v>
      </c>
      <c r="R55" s="52" t="n">
        <v>0</v>
      </c>
      <c r="S55" s="55" t="n">
        <v>88</v>
      </c>
      <c r="T55" s="55" t="n">
        <v>160</v>
      </c>
      <c r="U55" s="54" t="n">
        <v>792</v>
      </c>
      <c r="V55" s="54" t="n">
        <v>792</v>
      </c>
      <c r="W55" s="54" t="n">
        <v>0</v>
      </c>
      <c r="X55" s="54" t="n">
        <v>0</v>
      </c>
      <c r="Y55" s="54" t="n">
        <v>244</v>
      </c>
      <c r="Z55" s="56" t="n">
        <v>934.5599999999999</v>
      </c>
      <c r="AA55" s="57" t="n">
        <v>8.130000000000001</v>
      </c>
      <c r="AB55" s="57" t="n">
        <v>14.5</v>
      </c>
      <c r="AC55" s="57" t="n">
        <v>111.9</v>
      </c>
      <c r="AD55" s="54" t="n">
        <v>0</v>
      </c>
      <c r="AE55" s="54" t="n">
        <v>0</v>
      </c>
      <c r="AF55" s="54" t="n">
        <v>0</v>
      </c>
      <c r="AG55" s="54" t="n">
        <v>0</v>
      </c>
      <c r="AH55" s="57" t="n">
        <v>14.5</v>
      </c>
      <c r="AI55" s="29" t="inlineStr">
        <is>
          <t>8 - REGULAR / NORMAL</t>
        </is>
      </c>
      <c r="AJ55" s="39" t="inlineStr">
        <is>
          <t>M - Centralizado via CD</t>
        </is>
      </c>
      <c r="AK55" s="29" t="inlineStr">
        <is>
          <t>Regular / Normal</t>
        </is>
      </c>
    </row>
    <row r="56" ht="20" customHeight="1">
      <c r="A56" s="45" t="n">
        <v>11</v>
      </c>
      <c r="B56" s="45" t="n">
        <v>17315</v>
      </c>
      <c r="C56" s="46" t="inlineStr">
        <is>
          <t>DESOD ROLLON REXONA 50ML V8</t>
        </is>
      </c>
      <c r="D56" s="46" t="inlineStr">
        <is>
          <t>PERFUMARIA E LIMPEZA</t>
        </is>
      </c>
      <c r="E56" s="46" t="inlineStr">
        <is>
          <t>PERFUMARIA</t>
        </is>
      </c>
      <c r="F56" s="46" t="inlineStr">
        <is>
          <t>BATISTA</t>
        </is>
      </c>
      <c r="G56" s="46" t="inlineStr">
        <is>
          <t>5894 - UNIDASUL DISTRIBUIDORA ALIMENTICIA S/A</t>
        </is>
      </c>
      <c r="H56" s="47" t="inlineStr">
        <is>
          <t>M</t>
        </is>
      </c>
      <c r="I56" s="45" t="n">
        <v>12</v>
      </c>
      <c r="J56" s="45" t="n">
        <v>12</v>
      </c>
      <c r="K56" s="48" t="n">
        <v>32</v>
      </c>
      <c r="L56" s="48" t="n">
        <v>32</v>
      </c>
      <c r="M56" s="48" t="n">
        <v>0</v>
      </c>
      <c r="N56" s="48" t="n">
        <v>24</v>
      </c>
      <c r="O56" s="48" t="n">
        <v>36</v>
      </c>
      <c r="P56" s="48" t="n">
        <v>0</v>
      </c>
      <c r="Q56" s="48" t="n">
        <v>0</v>
      </c>
      <c r="R56" s="45" t="n">
        <v>0</v>
      </c>
      <c r="S56" s="49" t="n">
        <v>24</v>
      </c>
      <c r="T56" s="49" t="n">
        <v>36</v>
      </c>
      <c r="U56" s="48" t="n">
        <v>1032</v>
      </c>
      <c r="V56" s="48" t="n">
        <v>1032</v>
      </c>
      <c r="W56" s="48" t="n">
        <v>0</v>
      </c>
      <c r="X56" s="48" t="n">
        <v>0</v>
      </c>
      <c r="Y56" s="48" t="n">
        <v>54</v>
      </c>
      <c r="Z56" s="50" t="n">
        <v>538.8200000000001</v>
      </c>
      <c r="AA56" s="51" t="n">
        <v>1.8</v>
      </c>
      <c r="AB56" s="51" t="n">
        <v>17.8</v>
      </c>
      <c r="AC56" s="51" t="n">
        <v>591.1</v>
      </c>
      <c r="AD56" s="48" t="n">
        <v>0</v>
      </c>
      <c r="AE56" s="48" t="n">
        <v>0</v>
      </c>
      <c r="AF56" s="48" t="n">
        <v>0</v>
      </c>
      <c r="AG56" s="48" t="n">
        <v>0</v>
      </c>
      <c r="AH56" s="51" t="n">
        <v>17.8</v>
      </c>
      <c r="AI56" s="29" t="inlineStr">
        <is>
          <t>8 - REGULAR / NORMAL</t>
        </is>
      </c>
      <c r="AJ56" s="39" t="inlineStr">
        <is>
          <t>M - Centralizado via CD</t>
        </is>
      </c>
      <c r="AK56" s="29" t="inlineStr">
        <is>
          <t>Regular / Normal</t>
        </is>
      </c>
    </row>
    <row r="57" ht="20" customHeight="1">
      <c r="A57" s="52" t="n">
        <v>12</v>
      </c>
      <c r="B57" s="52" t="n">
        <v>812</v>
      </c>
      <c r="C57" s="53" t="inlineStr">
        <is>
          <t>REFRIG FANTA UVA PET 2L</t>
        </is>
      </c>
      <c r="D57" s="53" t="inlineStr">
        <is>
          <t>BEBIDAS</t>
        </is>
      </c>
      <c r="E57" s="53" t="inlineStr">
        <is>
          <t>BEBIDA</t>
        </is>
      </c>
      <c r="F57" s="53" t="inlineStr">
        <is>
          <t>NICOLAS</t>
        </is>
      </c>
      <c r="G57" s="53" t="inlineStr">
        <is>
          <t>15441 - SPAL IND BRAS BEBIDAS AS</t>
        </is>
      </c>
      <c r="H57" s="47" t="inlineStr">
        <is>
          <t>M</t>
        </is>
      </c>
      <c r="I57" s="52" t="n">
        <v>8</v>
      </c>
      <c r="J57" s="52" t="n">
        <v>8</v>
      </c>
      <c r="K57" s="54" t="n">
        <v>103</v>
      </c>
      <c r="L57" s="54" t="n">
        <v>103</v>
      </c>
      <c r="M57" s="54" t="n">
        <v>0</v>
      </c>
      <c r="N57" s="54" t="n">
        <v>88</v>
      </c>
      <c r="O57" s="54" t="n">
        <v>136</v>
      </c>
      <c r="P57" s="54" t="n">
        <v>0</v>
      </c>
      <c r="Q57" s="54" t="n">
        <v>0</v>
      </c>
      <c r="R57" s="52" t="n">
        <v>0</v>
      </c>
      <c r="S57" s="55" t="n">
        <v>88</v>
      </c>
      <c r="T57" s="55" t="n">
        <v>136</v>
      </c>
      <c r="U57" s="54" t="n">
        <v>336</v>
      </c>
      <c r="V57" s="54" t="n">
        <v>336</v>
      </c>
      <c r="W57" s="54" t="n">
        <v>0</v>
      </c>
      <c r="X57" s="54" t="n">
        <v>0</v>
      </c>
      <c r="Y57" s="54" t="n">
        <v>323</v>
      </c>
      <c r="Z57" s="56" t="n">
        <v>2839.17</v>
      </c>
      <c r="AA57" s="57" t="n">
        <v>10.77</v>
      </c>
      <c r="AB57" s="57" t="n">
        <v>9.6</v>
      </c>
      <c r="AC57" s="57" t="n">
        <v>40.8</v>
      </c>
      <c r="AD57" s="54" t="n">
        <v>0</v>
      </c>
      <c r="AE57" s="54" t="n">
        <v>0</v>
      </c>
      <c r="AF57" s="54" t="n">
        <v>8</v>
      </c>
      <c r="AG57" s="54" t="n">
        <v>8</v>
      </c>
      <c r="AH57" s="57" t="n">
        <v>10.3</v>
      </c>
      <c r="AI57" s="29" t="inlineStr">
        <is>
          <t>8 - REGULAR / NORMAL</t>
        </is>
      </c>
      <c r="AJ57" s="39" t="inlineStr">
        <is>
          <t>M - Centralizado via CD</t>
        </is>
      </c>
      <c r="AK57" s="29" t="inlineStr">
        <is>
          <t>Regular / Normal</t>
        </is>
      </c>
    </row>
    <row r="58" ht="20" customHeight="1">
      <c r="A58" s="45" t="n">
        <v>12</v>
      </c>
      <c r="B58" s="45" t="n">
        <v>19312</v>
      </c>
      <c r="C58" s="46" t="inlineStr">
        <is>
          <t>COT HASTES FLEX COTTONBABY C 75</t>
        </is>
      </c>
      <c r="D58" s="46" t="inlineStr">
        <is>
          <t>PERFUMARIA E LIMPEZA</t>
        </is>
      </c>
      <c r="E58" s="46" t="inlineStr">
        <is>
          <t>PERFUMARIA</t>
        </is>
      </c>
      <c r="F58" s="46" t="inlineStr">
        <is>
          <t>BATISTA</t>
        </is>
      </c>
      <c r="G58" s="46" t="inlineStr">
        <is>
          <t>6567 - HIGIE-PLUS INDUSTRIA E COM.LTDA</t>
        </is>
      </c>
      <c r="H58" s="47" t="inlineStr">
        <is>
          <t>M</t>
        </is>
      </c>
      <c r="I58" s="45" t="n">
        <v>72</v>
      </c>
      <c r="J58" s="45" t="n">
        <v>72</v>
      </c>
      <c r="K58" s="48" t="n">
        <v>110</v>
      </c>
      <c r="L58" s="48" t="n">
        <v>110</v>
      </c>
      <c r="M58" s="48" t="n">
        <v>0</v>
      </c>
      <c r="N58" s="48" t="n">
        <v>94</v>
      </c>
      <c r="O58" s="48" t="n">
        <v>166</v>
      </c>
      <c r="P58" s="48" t="n">
        <v>0</v>
      </c>
      <c r="Q58" s="48" t="n">
        <v>0</v>
      </c>
      <c r="R58" s="45" t="n">
        <v>0</v>
      </c>
      <c r="S58" s="49" t="n">
        <v>94</v>
      </c>
      <c r="T58" s="49" t="n">
        <v>166</v>
      </c>
      <c r="U58" s="48" t="n">
        <v>792</v>
      </c>
      <c r="V58" s="48" t="n">
        <v>792</v>
      </c>
      <c r="W58" s="48" t="n">
        <v>0</v>
      </c>
      <c r="X58" s="48" t="n">
        <v>0</v>
      </c>
      <c r="Y58" s="48" t="n">
        <v>269</v>
      </c>
      <c r="Z58" s="50" t="n">
        <v>1031.11</v>
      </c>
      <c r="AA58" s="51" t="n">
        <v>8.970000000000001</v>
      </c>
      <c r="AB58" s="51" t="n">
        <v>12.3</v>
      </c>
      <c r="AC58" s="51" t="n">
        <v>100.6</v>
      </c>
      <c r="AD58" s="48" t="n">
        <v>0</v>
      </c>
      <c r="AE58" s="48" t="n">
        <v>0</v>
      </c>
      <c r="AF58" s="48" t="n">
        <v>0</v>
      </c>
      <c r="AG58" s="48" t="n">
        <v>0</v>
      </c>
      <c r="AH58" s="51" t="n">
        <v>12.3</v>
      </c>
      <c r="AI58" s="29" t="inlineStr">
        <is>
          <t>8 - REGULAR / NORMAL</t>
        </is>
      </c>
      <c r="AJ58" s="39" t="inlineStr">
        <is>
          <t>M - Centralizado via CD</t>
        </is>
      </c>
      <c r="AK58" s="29" t="inlineStr">
        <is>
          <t>Regular / Normal</t>
        </is>
      </c>
    </row>
    <row r="59" ht="20" customHeight="1">
      <c r="A59" s="52" t="n">
        <v>12</v>
      </c>
      <c r="B59" s="52" t="n">
        <v>17315</v>
      </c>
      <c r="C59" s="53" t="inlineStr">
        <is>
          <t>DESOD ROLLON REXONA 50ML V8</t>
        </is>
      </c>
      <c r="D59" s="53" t="inlineStr">
        <is>
          <t>PERFUMARIA E LIMPEZA</t>
        </is>
      </c>
      <c r="E59" s="53" t="inlineStr">
        <is>
          <t>PERFUMARIA</t>
        </is>
      </c>
      <c r="F59" s="53" t="inlineStr">
        <is>
          <t>BATISTA</t>
        </is>
      </c>
      <c r="G59" s="53" t="inlineStr">
        <is>
          <t>5894 - UNIDASUL DISTRIBUIDORA ALIMENTICIA S/A</t>
        </is>
      </c>
      <c r="H59" s="47" t="inlineStr">
        <is>
          <t>M</t>
        </is>
      </c>
      <c r="I59" s="52" t="n">
        <v>12</v>
      </c>
      <c r="J59" s="52" t="n">
        <v>12</v>
      </c>
      <c r="K59" s="54" t="n">
        <v>52</v>
      </c>
      <c r="L59" s="54" t="n">
        <v>52</v>
      </c>
      <c r="M59" s="54" t="n">
        <v>0</v>
      </c>
      <c r="N59" s="54" t="n">
        <v>40</v>
      </c>
      <c r="O59" s="54" t="n">
        <v>52</v>
      </c>
      <c r="P59" s="54" t="n">
        <v>0</v>
      </c>
      <c r="Q59" s="54" t="n">
        <v>0</v>
      </c>
      <c r="R59" s="52" t="n">
        <v>0</v>
      </c>
      <c r="S59" s="55" t="n">
        <v>40</v>
      </c>
      <c r="T59" s="55" t="n">
        <v>52</v>
      </c>
      <c r="U59" s="54" t="n">
        <v>1032</v>
      </c>
      <c r="V59" s="54" t="n">
        <v>1032</v>
      </c>
      <c r="W59" s="54" t="n">
        <v>0</v>
      </c>
      <c r="X59" s="54" t="n">
        <v>0</v>
      </c>
      <c r="Y59" s="54" t="n">
        <v>39</v>
      </c>
      <c r="Z59" s="56" t="n">
        <v>388.61</v>
      </c>
      <c r="AA59" s="57" t="n">
        <v>1.3</v>
      </c>
      <c r="AB59" s="57" t="n">
        <v>40</v>
      </c>
      <c r="AC59" s="57" t="n">
        <v>833.8</v>
      </c>
      <c r="AD59" s="54" t="n">
        <v>0</v>
      </c>
      <c r="AE59" s="54" t="n">
        <v>0</v>
      </c>
      <c r="AF59" s="54" t="n">
        <v>0</v>
      </c>
      <c r="AG59" s="54" t="n">
        <v>0</v>
      </c>
      <c r="AH59" s="57" t="n">
        <v>40</v>
      </c>
      <c r="AI59" s="29" t="inlineStr">
        <is>
          <t>8 - REGULAR / NORMAL</t>
        </is>
      </c>
      <c r="AJ59" s="39" t="inlineStr">
        <is>
          <t>M - Centralizado via CD</t>
        </is>
      </c>
      <c r="AK59" s="29" t="inlineStr">
        <is>
          <t>Regular / Normal</t>
        </is>
      </c>
    </row>
    <row r="60" ht="20" customHeight="1">
      <c r="A60" s="45" t="n">
        <v>13</v>
      </c>
      <c r="B60" s="45" t="n">
        <v>899</v>
      </c>
      <c r="C60" s="46" t="inlineStr">
        <is>
          <t>REFRIG FANTA UVA LT 350ML</t>
        </is>
      </c>
      <c r="D60" s="46" t="inlineStr">
        <is>
          <t>BEBIDAS</t>
        </is>
      </c>
      <c r="E60" s="46" t="inlineStr">
        <is>
          <t>BEBIDA</t>
        </is>
      </c>
      <c r="F60" s="46" t="inlineStr">
        <is>
          <t>NICOLAS</t>
        </is>
      </c>
      <c r="G60" s="46" t="inlineStr">
        <is>
          <t>15441 - SPAL IND BRAS BEBIDAS AS</t>
        </is>
      </c>
      <c r="H60" s="47" t="inlineStr">
        <is>
          <t>M</t>
        </is>
      </c>
      <c r="I60" s="45" t="n">
        <v>6</v>
      </c>
      <c r="J60" s="45" t="n">
        <v>6</v>
      </c>
      <c r="K60" s="48" t="n">
        <v>44</v>
      </c>
      <c r="L60" s="48" t="n">
        <v>44</v>
      </c>
      <c r="M60" s="48" t="n">
        <v>0</v>
      </c>
      <c r="N60" s="48" t="n">
        <v>34</v>
      </c>
      <c r="O60" s="48" t="n">
        <v>52</v>
      </c>
      <c r="P60" s="48" t="n">
        <v>0</v>
      </c>
      <c r="Q60" s="48" t="n">
        <v>0</v>
      </c>
      <c r="R60" s="45" t="n">
        <v>0</v>
      </c>
      <c r="S60" s="49" t="n">
        <v>34</v>
      </c>
      <c r="T60" s="49" t="n">
        <v>52</v>
      </c>
      <c r="U60" s="48" t="n">
        <v>74</v>
      </c>
      <c r="V60" s="48" t="n">
        <v>74</v>
      </c>
      <c r="W60" s="48" t="n">
        <v>0</v>
      </c>
      <c r="X60" s="48" t="n">
        <v>0</v>
      </c>
      <c r="Y60" s="48" t="n">
        <v>80</v>
      </c>
      <c r="Z60" s="50" t="n">
        <v>263.7</v>
      </c>
      <c r="AA60" s="51" t="n">
        <v>2.67</v>
      </c>
      <c r="AB60" s="51" t="n">
        <v>16.5</v>
      </c>
      <c r="AC60" s="51" t="n">
        <v>44.2</v>
      </c>
      <c r="AD60" s="48" t="n">
        <v>0</v>
      </c>
      <c r="AE60" s="48" t="n">
        <v>0</v>
      </c>
      <c r="AF60" s="48" t="n">
        <v>60</v>
      </c>
      <c r="AG60" s="48" t="n">
        <v>60</v>
      </c>
      <c r="AH60" s="51" t="n">
        <v>39</v>
      </c>
      <c r="AI60" s="29" t="inlineStr">
        <is>
          <t>8 - REGULAR / NORMAL</t>
        </is>
      </c>
      <c r="AJ60" s="39" t="inlineStr">
        <is>
          <t>M - Centralizado via CD</t>
        </is>
      </c>
      <c r="AK60" s="29" t="inlineStr">
        <is>
          <t>Regular / Normal</t>
        </is>
      </c>
    </row>
    <row r="61" ht="20" customHeight="1">
      <c r="A61" s="52" t="n">
        <v>13</v>
      </c>
      <c r="B61" s="52" t="n">
        <v>812</v>
      </c>
      <c r="C61" s="53" t="inlineStr">
        <is>
          <t>REFRIG FANTA UVA PET 2L</t>
        </is>
      </c>
      <c r="D61" s="53" t="inlineStr">
        <is>
          <t>BEBIDAS</t>
        </is>
      </c>
      <c r="E61" s="53" t="inlineStr">
        <is>
          <t>BEBIDA</t>
        </is>
      </c>
      <c r="F61" s="53" t="inlineStr">
        <is>
          <t>NICOLAS</t>
        </is>
      </c>
      <c r="G61" s="53" t="inlineStr">
        <is>
          <t>15441 - SPAL IND BRAS BEBIDAS AS</t>
        </is>
      </c>
      <c r="H61" s="47" t="inlineStr">
        <is>
          <t>M</t>
        </is>
      </c>
      <c r="I61" s="52" t="n">
        <v>8</v>
      </c>
      <c r="J61" s="52" t="n">
        <v>8</v>
      </c>
      <c r="K61" s="54" t="n">
        <v>34</v>
      </c>
      <c r="L61" s="54" t="n">
        <v>34</v>
      </c>
      <c r="M61" s="54" t="n">
        <v>0</v>
      </c>
      <c r="N61" s="54" t="n">
        <v>28</v>
      </c>
      <c r="O61" s="54" t="n">
        <v>44</v>
      </c>
      <c r="P61" s="54" t="n">
        <v>0</v>
      </c>
      <c r="Q61" s="54" t="n">
        <v>0</v>
      </c>
      <c r="R61" s="52" t="n">
        <v>0</v>
      </c>
      <c r="S61" s="55" t="n">
        <v>28</v>
      </c>
      <c r="T61" s="55" t="n">
        <v>44</v>
      </c>
      <c r="U61" s="54" t="n">
        <v>336</v>
      </c>
      <c r="V61" s="54" t="n">
        <v>336</v>
      </c>
      <c r="W61" s="54" t="n">
        <v>0</v>
      </c>
      <c r="X61" s="54" t="n">
        <v>0</v>
      </c>
      <c r="Y61" s="54" t="n">
        <v>109</v>
      </c>
      <c r="Z61" s="56" t="n">
        <v>958.11</v>
      </c>
      <c r="AA61" s="57" t="n">
        <v>3.63</v>
      </c>
      <c r="AB61" s="57" t="n">
        <v>9.4</v>
      </c>
      <c r="AC61" s="57" t="n">
        <v>101.9</v>
      </c>
      <c r="AD61" s="54" t="n">
        <v>0</v>
      </c>
      <c r="AE61" s="54" t="n">
        <v>0</v>
      </c>
      <c r="AF61" s="54" t="n">
        <v>8</v>
      </c>
      <c r="AG61" s="54" t="n">
        <v>8</v>
      </c>
      <c r="AH61" s="57" t="n">
        <v>11.6</v>
      </c>
      <c r="AI61" s="29" t="inlineStr">
        <is>
          <t>8 - REGULAR / NORMAL</t>
        </is>
      </c>
      <c r="AJ61" s="39" t="inlineStr">
        <is>
          <t>M - Centralizado via CD</t>
        </is>
      </c>
      <c r="AK61" s="29" t="inlineStr">
        <is>
          <t>Regular / Normal</t>
        </is>
      </c>
    </row>
    <row r="62" ht="20" customHeight="1">
      <c r="A62" s="58" t="n">
        <v>13</v>
      </c>
      <c r="B62" s="58" t="n">
        <v>2799</v>
      </c>
      <c r="C62" s="59" t="inlineStr">
        <is>
          <t>FAROFA MANDIOCA YOKI 400G TRADICIONAL</t>
        </is>
      </c>
      <c r="D62" s="59" t="inlineStr">
        <is>
          <t>MERCEARIA</t>
        </is>
      </c>
      <c r="E62" s="59" t="inlineStr">
        <is>
          <t>MERCEARIA SECA</t>
        </is>
      </c>
      <c r="F62" s="59" t="inlineStr">
        <is>
          <t>NIDAL</t>
        </is>
      </c>
      <c r="G62" s="59" t="inlineStr">
        <is>
          <t>3527 - FABIANO ZAFFALON E CIA LTDA</t>
        </is>
      </c>
      <c r="H62" s="47" t="inlineStr">
        <is>
          <t>M</t>
        </is>
      </c>
      <c r="I62" s="58" t="n">
        <v>24</v>
      </c>
      <c r="J62" s="58" t="n">
        <v>24</v>
      </c>
      <c r="K62" s="60" t="n">
        <v>206</v>
      </c>
      <c r="L62" s="60" t="n">
        <v>206</v>
      </c>
      <c r="M62" s="60" t="n">
        <v>0</v>
      </c>
      <c r="N62" s="60" t="n">
        <v>36</v>
      </c>
      <c r="O62" s="60" t="n">
        <v>60</v>
      </c>
      <c r="P62" s="60" t="n">
        <v>120</v>
      </c>
      <c r="Q62" s="60" t="n">
        <v>240</v>
      </c>
      <c r="R62" s="58" t="n">
        <v>1</v>
      </c>
      <c r="S62" s="61" t="n">
        <v>156</v>
      </c>
      <c r="T62" s="61" t="n">
        <v>300</v>
      </c>
      <c r="U62" s="60" t="n">
        <v>576</v>
      </c>
      <c r="V62" s="60" t="n">
        <v>576</v>
      </c>
      <c r="W62" s="60" t="n">
        <v>0</v>
      </c>
      <c r="X62" s="60" t="n">
        <v>0</v>
      </c>
      <c r="Y62" s="60" t="n">
        <v>118</v>
      </c>
      <c r="Z62" s="62" t="n">
        <v>962.02</v>
      </c>
      <c r="AA62" s="63" t="n">
        <v>3.93</v>
      </c>
      <c r="AB62" s="63" t="n">
        <v>52.4</v>
      </c>
      <c r="AC62" s="63" t="n">
        <v>199</v>
      </c>
      <c r="AD62" s="60" t="n">
        <v>0</v>
      </c>
      <c r="AE62" s="60" t="n">
        <v>0</v>
      </c>
      <c r="AF62" s="60" t="n">
        <v>0</v>
      </c>
      <c r="AG62" s="60" t="n">
        <v>0</v>
      </c>
      <c r="AH62" s="63" t="n">
        <v>52.4</v>
      </c>
      <c r="AI62" s="29" t="inlineStr">
        <is>
          <t>8 - REGULAR / NORMAL</t>
        </is>
      </c>
      <c r="AJ62" s="39" t="inlineStr">
        <is>
          <t>M - Centralizado via CD</t>
        </is>
      </c>
      <c r="AK62" s="29" t="inlineStr">
        <is>
          <t>Regular / Normal</t>
        </is>
      </c>
    </row>
    <row r="63" ht="20" customHeight="1">
      <c r="A63" s="52" t="n">
        <v>13</v>
      </c>
      <c r="B63" s="52" t="n">
        <v>17315</v>
      </c>
      <c r="C63" s="53" t="inlineStr">
        <is>
          <t>DESOD ROLLON REXONA 50ML V8</t>
        </is>
      </c>
      <c r="D63" s="53" t="inlineStr">
        <is>
          <t>PERFUMARIA E LIMPEZA</t>
        </is>
      </c>
      <c r="E63" s="53" t="inlineStr">
        <is>
          <t>PERFUMARIA</t>
        </is>
      </c>
      <c r="F63" s="53" t="inlineStr">
        <is>
          <t>BATISTA</t>
        </is>
      </c>
      <c r="G63" s="53" t="inlineStr">
        <is>
          <t>5894 - UNIDASUL DISTRIBUIDORA ALIMENTICIA S/A</t>
        </is>
      </c>
      <c r="H63" s="47" t="inlineStr">
        <is>
          <t>M</t>
        </is>
      </c>
      <c r="I63" s="52" t="n">
        <v>12</v>
      </c>
      <c r="J63" s="52" t="n">
        <v>12</v>
      </c>
      <c r="K63" s="54" t="n">
        <v>25</v>
      </c>
      <c r="L63" s="54" t="n">
        <v>25</v>
      </c>
      <c r="M63" s="54" t="n">
        <v>0</v>
      </c>
      <c r="N63" s="54" t="n">
        <v>22</v>
      </c>
      <c r="O63" s="54" t="n">
        <v>34</v>
      </c>
      <c r="P63" s="54" t="n">
        <v>0</v>
      </c>
      <c r="Q63" s="54" t="n">
        <v>0</v>
      </c>
      <c r="R63" s="52" t="n">
        <v>0</v>
      </c>
      <c r="S63" s="55" t="n">
        <v>22</v>
      </c>
      <c r="T63" s="55" t="n">
        <v>34</v>
      </c>
      <c r="U63" s="54" t="n">
        <v>1032</v>
      </c>
      <c r="V63" s="54" t="n">
        <v>1032</v>
      </c>
      <c r="W63" s="54" t="n">
        <v>0</v>
      </c>
      <c r="X63" s="54" t="n">
        <v>0</v>
      </c>
      <c r="Y63" s="54" t="n">
        <v>13</v>
      </c>
      <c r="Z63" s="56" t="n">
        <v>129.87</v>
      </c>
      <c r="AA63" s="57" t="n">
        <v>0.43</v>
      </c>
      <c r="AB63" s="57" t="n">
        <v>58.1</v>
      </c>
      <c r="AC63" s="57" t="n">
        <v>2458.1</v>
      </c>
      <c r="AD63" s="54" t="n">
        <v>0</v>
      </c>
      <c r="AE63" s="54" t="n">
        <v>0</v>
      </c>
      <c r="AF63" s="54" t="n">
        <v>0</v>
      </c>
      <c r="AG63" s="54" t="n">
        <v>0</v>
      </c>
      <c r="AH63" s="57" t="n">
        <v>58.1</v>
      </c>
      <c r="AI63" s="29" t="inlineStr">
        <is>
          <t>8 - REGULAR / NORMAL</t>
        </is>
      </c>
      <c r="AJ63" s="39" t="inlineStr">
        <is>
          <t>M - Centralizado via CD</t>
        </is>
      </c>
      <c r="AK63" s="29" t="inlineStr">
        <is>
          <t>Regular / Normal</t>
        </is>
      </c>
    </row>
    <row r="64" ht="20" customHeight="1">
      <c r="A64" s="45" t="n">
        <v>14</v>
      </c>
      <c r="B64" s="45" t="n">
        <v>19312</v>
      </c>
      <c r="C64" s="46" t="inlineStr">
        <is>
          <t>COT HASTES FLEX COTTONBABY C 75</t>
        </is>
      </c>
      <c r="D64" s="46" t="inlineStr">
        <is>
          <t>PERFUMARIA E LIMPEZA</t>
        </is>
      </c>
      <c r="E64" s="46" t="inlineStr">
        <is>
          <t>PERFUMARIA</t>
        </is>
      </c>
      <c r="F64" s="46" t="inlineStr">
        <is>
          <t>BATISTA</t>
        </is>
      </c>
      <c r="G64" s="46" t="inlineStr">
        <is>
          <t>6567 - HIGIE-PLUS INDUSTRIA E COM.LTDA</t>
        </is>
      </c>
      <c r="H64" s="47" t="inlineStr">
        <is>
          <t>M</t>
        </is>
      </c>
      <c r="I64" s="45" t="n">
        <v>72</v>
      </c>
      <c r="J64" s="45" t="n">
        <v>72</v>
      </c>
      <c r="K64" s="48" t="n">
        <v>61</v>
      </c>
      <c r="L64" s="48" t="n">
        <v>61</v>
      </c>
      <c r="M64" s="48" t="n">
        <v>0</v>
      </c>
      <c r="N64" s="48" t="n">
        <v>44</v>
      </c>
      <c r="O64" s="48" t="n">
        <v>116</v>
      </c>
      <c r="P64" s="48" t="n">
        <v>0</v>
      </c>
      <c r="Q64" s="48" t="n">
        <v>0</v>
      </c>
      <c r="R64" s="45" t="n">
        <v>0</v>
      </c>
      <c r="S64" s="49" t="n">
        <v>44</v>
      </c>
      <c r="T64" s="49" t="n">
        <v>116</v>
      </c>
      <c r="U64" s="48" t="n">
        <v>792</v>
      </c>
      <c r="V64" s="48" t="n">
        <v>792</v>
      </c>
      <c r="W64" s="48" t="n">
        <v>0</v>
      </c>
      <c r="X64" s="48" t="n">
        <v>0</v>
      </c>
      <c r="Y64" s="48" t="n">
        <v>107</v>
      </c>
      <c r="Z64" s="50" t="n">
        <v>409.33</v>
      </c>
      <c r="AA64" s="51" t="n">
        <v>3.57</v>
      </c>
      <c r="AB64" s="51" t="n">
        <v>17.1</v>
      </c>
      <c r="AC64" s="51" t="n">
        <v>238.9</v>
      </c>
      <c r="AD64" s="48" t="n">
        <v>0</v>
      </c>
      <c r="AE64" s="48" t="n">
        <v>0</v>
      </c>
      <c r="AF64" s="48" t="n">
        <v>0</v>
      </c>
      <c r="AG64" s="48" t="n">
        <v>0</v>
      </c>
      <c r="AH64" s="51" t="n">
        <v>17.1</v>
      </c>
      <c r="AI64" s="29" t="inlineStr">
        <is>
          <t>8 - REGULAR / NORMAL</t>
        </is>
      </c>
      <c r="AJ64" s="39" t="inlineStr">
        <is>
          <t>M - Centralizado via CD</t>
        </is>
      </c>
      <c r="AK64" s="29" t="inlineStr">
        <is>
          <t>Regular / Normal</t>
        </is>
      </c>
    </row>
    <row r="65" ht="20" customHeight="1">
      <c r="A65" s="52" t="n">
        <v>17</v>
      </c>
      <c r="B65" s="52" t="n">
        <v>853</v>
      </c>
      <c r="C65" s="53" t="inlineStr">
        <is>
          <t>REFRIG FANTA PET 600ML UVA</t>
        </is>
      </c>
      <c r="D65" s="53" t="inlineStr">
        <is>
          <t>BEBIDAS</t>
        </is>
      </c>
      <c r="E65" s="53" t="inlineStr">
        <is>
          <t>BEBIDA</t>
        </is>
      </c>
      <c r="F65" s="53" t="inlineStr">
        <is>
          <t>NICOLAS</t>
        </is>
      </c>
      <c r="G65" s="53" t="inlineStr">
        <is>
          <t>15441 - SPAL IND BRAS BEBIDAS AS</t>
        </is>
      </c>
      <c r="H65" s="47" t="inlineStr">
        <is>
          <t>M</t>
        </is>
      </c>
      <c r="I65" s="52" t="n">
        <v>6</v>
      </c>
      <c r="J65" s="52" t="n">
        <v>6</v>
      </c>
      <c r="K65" s="54" t="n">
        <v>8</v>
      </c>
      <c r="L65" s="54" t="n">
        <v>8</v>
      </c>
      <c r="M65" s="54" t="n">
        <v>0</v>
      </c>
      <c r="N65" s="54" t="n">
        <v>6</v>
      </c>
      <c r="O65" s="54" t="n">
        <v>12</v>
      </c>
      <c r="P65" s="54" t="n">
        <v>0</v>
      </c>
      <c r="Q65" s="54" t="n">
        <v>0</v>
      </c>
      <c r="R65" s="52" t="n">
        <v>0</v>
      </c>
      <c r="S65" s="55" t="n">
        <v>6</v>
      </c>
      <c r="T65" s="55" t="n">
        <v>12</v>
      </c>
      <c r="U65" s="54" t="n">
        <v>0</v>
      </c>
      <c r="V65" s="54" t="n">
        <v>0</v>
      </c>
      <c r="W65" s="54" t="n">
        <v>0</v>
      </c>
      <c r="X65" s="54" t="n">
        <v>0</v>
      </c>
      <c r="Y65" s="54" t="n">
        <v>18</v>
      </c>
      <c r="Z65" s="56" t="n">
        <v>88.81999999999999</v>
      </c>
      <c r="AA65" s="57" t="n">
        <v>0.6</v>
      </c>
      <c r="AB65" s="57" t="n">
        <v>13.3</v>
      </c>
      <c r="AC65" s="57" t="n">
        <v>13.3</v>
      </c>
      <c r="AD65" s="54" t="n">
        <v>0</v>
      </c>
      <c r="AE65" s="54" t="n">
        <v>0</v>
      </c>
      <c r="AF65" s="54" t="n">
        <v>0</v>
      </c>
      <c r="AG65" s="54" t="n">
        <v>0</v>
      </c>
      <c r="AH65" s="57" t="n">
        <v>13.3</v>
      </c>
      <c r="AI65" s="29" t="inlineStr">
        <is>
          <t>8 - REGULAR / NORMAL</t>
        </is>
      </c>
      <c r="AJ65" s="39" t="inlineStr">
        <is>
          <t>M - Centralizado via CD</t>
        </is>
      </c>
      <c r="AK65" s="29" t="inlineStr">
        <is>
          <t>Regular / Normal</t>
        </is>
      </c>
    </row>
    <row r="66" ht="20" customHeight="1">
      <c r="A66" s="45" t="n">
        <v>17</v>
      </c>
      <c r="B66" s="45" t="n">
        <v>899</v>
      </c>
      <c r="C66" s="46" t="inlineStr">
        <is>
          <t>REFRIG FANTA UVA LT 350ML</t>
        </is>
      </c>
      <c r="D66" s="46" t="inlineStr">
        <is>
          <t>BEBIDAS</t>
        </is>
      </c>
      <c r="E66" s="46" t="inlineStr">
        <is>
          <t>BEBIDA</t>
        </is>
      </c>
      <c r="F66" s="46" t="inlineStr">
        <is>
          <t>NICOLAS</t>
        </is>
      </c>
      <c r="G66" s="46" t="inlineStr">
        <is>
          <t>15441 - SPAL IND BRAS BEBIDAS AS</t>
        </is>
      </c>
      <c r="H66" s="47" t="inlineStr">
        <is>
          <t>M</t>
        </is>
      </c>
      <c r="I66" s="45" t="n">
        <v>6</v>
      </c>
      <c r="J66" s="45" t="n">
        <v>6</v>
      </c>
      <c r="K66" s="48" t="n">
        <v>58</v>
      </c>
      <c r="L66" s="48" t="n">
        <v>58</v>
      </c>
      <c r="M66" s="48" t="n">
        <v>0</v>
      </c>
      <c r="N66" s="48" t="n">
        <v>52</v>
      </c>
      <c r="O66" s="48" t="n">
        <v>82</v>
      </c>
      <c r="P66" s="48" t="n">
        <v>0</v>
      </c>
      <c r="Q66" s="48" t="n">
        <v>0</v>
      </c>
      <c r="R66" s="45" t="n">
        <v>0</v>
      </c>
      <c r="S66" s="49" t="n">
        <v>52</v>
      </c>
      <c r="T66" s="49" t="n">
        <v>82</v>
      </c>
      <c r="U66" s="48" t="n">
        <v>74</v>
      </c>
      <c r="V66" s="48" t="n">
        <v>74</v>
      </c>
      <c r="W66" s="48" t="n">
        <v>0</v>
      </c>
      <c r="X66" s="48" t="n">
        <v>0</v>
      </c>
      <c r="Y66" s="48" t="n">
        <v>145</v>
      </c>
      <c r="Z66" s="50" t="n">
        <v>534.35</v>
      </c>
      <c r="AA66" s="51" t="n">
        <v>4.83</v>
      </c>
      <c r="AB66" s="51" t="n">
        <v>12</v>
      </c>
      <c r="AC66" s="51" t="n">
        <v>27.3</v>
      </c>
      <c r="AD66" s="48" t="n">
        <v>0</v>
      </c>
      <c r="AE66" s="48" t="n">
        <v>60</v>
      </c>
      <c r="AF66" s="48" t="n">
        <v>0</v>
      </c>
      <c r="AG66" s="48" t="n">
        <v>60</v>
      </c>
      <c r="AH66" s="51" t="n">
        <v>24.4</v>
      </c>
      <c r="AI66" s="29" t="inlineStr">
        <is>
          <t>8 - REGULAR / NORMAL</t>
        </is>
      </c>
      <c r="AJ66" s="39" t="inlineStr">
        <is>
          <t>M - Centralizado via CD</t>
        </is>
      </c>
      <c r="AK66" s="29" t="inlineStr">
        <is>
          <t>Regular / Normal</t>
        </is>
      </c>
    </row>
    <row r="67" ht="20" customHeight="1">
      <c r="A67" s="52" t="n">
        <v>17</v>
      </c>
      <c r="B67" s="52" t="n">
        <v>812</v>
      </c>
      <c r="C67" s="53" t="inlineStr">
        <is>
          <t>REFRIG FANTA UVA PET 2L</t>
        </is>
      </c>
      <c r="D67" s="53" t="inlineStr">
        <is>
          <t>BEBIDAS</t>
        </is>
      </c>
      <c r="E67" s="53" t="inlineStr">
        <is>
          <t>BEBIDA</t>
        </is>
      </c>
      <c r="F67" s="53" t="inlineStr">
        <is>
          <t>NICOLAS</t>
        </is>
      </c>
      <c r="G67" s="53" t="inlineStr">
        <is>
          <t>15441 - SPAL IND BRAS BEBIDAS AS</t>
        </is>
      </c>
      <c r="H67" s="47" t="inlineStr">
        <is>
          <t>M</t>
        </is>
      </c>
      <c r="I67" s="52" t="n">
        <v>8</v>
      </c>
      <c r="J67" s="52" t="n">
        <v>8</v>
      </c>
      <c r="K67" s="54" t="n">
        <v>78</v>
      </c>
      <c r="L67" s="54" t="n">
        <v>78</v>
      </c>
      <c r="M67" s="54" t="n">
        <v>0</v>
      </c>
      <c r="N67" s="54" t="n">
        <v>58</v>
      </c>
      <c r="O67" s="54" t="n">
        <v>90</v>
      </c>
      <c r="P67" s="54" t="n">
        <v>0</v>
      </c>
      <c r="Q67" s="54" t="n">
        <v>0</v>
      </c>
      <c r="R67" s="52" t="n">
        <v>0</v>
      </c>
      <c r="S67" s="55" t="n">
        <v>58</v>
      </c>
      <c r="T67" s="55" t="n">
        <v>90</v>
      </c>
      <c r="U67" s="54" t="n">
        <v>336</v>
      </c>
      <c r="V67" s="54" t="n">
        <v>336</v>
      </c>
      <c r="W67" s="54" t="n">
        <v>0</v>
      </c>
      <c r="X67" s="54" t="n">
        <v>0</v>
      </c>
      <c r="Y67" s="54" t="n">
        <v>171</v>
      </c>
      <c r="Z67" s="56" t="n">
        <v>1537.29</v>
      </c>
      <c r="AA67" s="57" t="n">
        <v>5.7</v>
      </c>
      <c r="AB67" s="57" t="n">
        <v>13.7</v>
      </c>
      <c r="AC67" s="57" t="n">
        <v>72.59999999999999</v>
      </c>
      <c r="AD67" s="54" t="n">
        <v>0</v>
      </c>
      <c r="AE67" s="54" t="n">
        <v>0</v>
      </c>
      <c r="AF67" s="54" t="n">
        <v>0</v>
      </c>
      <c r="AG67" s="54" t="n">
        <v>0</v>
      </c>
      <c r="AH67" s="57" t="n">
        <v>13.7</v>
      </c>
      <c r="AI67" s="29" t="inlineStr">
        <is>
          <t>8 - REGULAR / NORMAL</t>
        </is>
      </c>
      <c r="AJ67" s="39" t="inlineStr">
        <is>
          <t>M - Centralizado via CD</t>
        </is>
      </c>
      <c r="AK67" s="29" t="inlineStr">
        <is>
          <t>Regular / Normal</t>
        </is>
      </c>
    </row>
    <row r="68" ht="20" customHeight="1">
      <c r="A68" s="45" t="n">
        <v>17</v>
      </c>
      <c r="B68" s="45" t="n">
        <v>2020</v>
      </c>
      <c r="C68" s="46" t="inlineStr">
        <is>
          <t>CAFE VACUO MELITTA 500G EXTRA FORTE</t>
        </is>
      </c>
      <c r="D68" s="46" t="inlineStr">
        <is>
          <t>MERCEARIA</t>
        </is>
      </c>
      <c r="E68" s="46" t="inlineStr">
        <is>
          <t>MERCEARIA SECA</t>
        </is>
      </c>
      <c r="F68" s="46" t="inlineStr">
        <is>
          <t>WERTER</t>
        </is>
      </c>
      <c r="G68" s="46" t="inlineStr">
        <is>
          <t>10368 - MELITTA DO BRASIL E COMERCIO LTDA.</t>
        </is>
      </c>
      <c r="H68" s="47" t="inlineStr">
        <is>
          <t>M</t>
        </is>
      </c>
      <c r="I68" s="45" t="n">
        <v>20</v>
      </c>
      <c r="J68" s="45" t="n">
        <v>20</v>
      </c>
      <c r="K68" s="48" t="n">
        <v>55</v>
      </c>
      <c r="L68" s="48" t="n">
        <v>55</v>
      </c>
      <c r="M68" s="48" t="n">
        <v>0</v>
      </c>
      <c r="N68" s="48" t="n">
        <v>36</v>
      </c>
      <c r="O68" s="48" t="n">
        <v>56</v>
      </c>
      <c r="P68" s="48" t="n">
        <v>0</v>
      </c>
      <c r="Q68" s="48" t="n">
        <v>0</v>
      </c>
      <c r="R68" s="45" t="n">
        <v>0</v>
      </c>
      <c r="S68" s="49" t="n">
        <v>36</v>
      </c>
      <c r="T68" s="49" t="n">
        <v>56</v>
      </c>
      <c r="U68" s="48" t="n">
        <v>401</v>
      </c>
      <c r="V68" s="48" t="n">
        <v>400</v>
      </c>
      <c r="W68" s="48" t="n">
        <v>0</v>
      </c>
      <c r="X68" s="48" t="n">
        <v>1</v>
      </c>
      <c r="Y68" s="48" t="n">
        <v>78</v>
      </c>
      <c r="Z68" s="50" t="n">
        <v>2115.73</v>
      </c>
      <c r="AA68" s="51" t="n">
        <v>2.6</v>
      </c>
      <c r="AB68" s="51" t="n">
        <v>21.2</v>
      </c>
      <c r="AC68" s="51" t="n">
        <v>175.4</v>
      </c>
      <c r="AD68" s="48" t="n">
        <v>0</v>
      </c>
      <c r="AE68" s="48" t="n">
        <v>0</v>
      </c>
      <c r="AF68" s="48" t="n">
        <v>0</v>
      </c>
      <c r="AG68" s="48" t="n">
        <v>0</v>
      </c>
      <c r="AH68" s="51" t="n">
        <v>21.2</v>
      </c>
      <c r="AI68" s="29" t="inlineStr">
        <is>
          <t>8 - REGULAR / NORMAL</t>
        </is>
      </c>
      <c r="AJ68" s="39" t="inlineStr">
        <is>
          <t>M - Centralizado via CD</t>
        </is>
      </c>
      <c r="AK68" s="29" t="inlineStr">
        <is>
          <t>Regular / Normal</t>
        </is>
      </c>
    </row>
    <row r="69" ht="20" customHeight="1">
      <c r="A69" s="52" t="n">
        <v>17</v>
      </c>
      <c r="B69" s="52" t="n">
        <v>2018</v>
      </c>
      <c r="C69" s="53" t="inlineStr">
        <is>
          <t>CAFE VACUO MELITTA 500G TRAD</t>
        </is>
      </c>
      <c r="D69" s="53" t="inlineStr">
        <is>
          <t>MERCEARIA</t>
        </is>
      </c>
      <c r="E69" s="53" t="inlineStr">
        <is>
          <t>MERCEARIA SECA</t>
        </is>
      </c>
      <c r="F69" s="53" t="inlineStr">
        <is>
          <t>WERTER</t>
        </is>
      </c>
      <c r="G69" s="53" t="inlineStr">
        <is>
          <t>10368 - MELITTA DO BRASIL E COMERCIO LTDA.</t>
        </is>
      </c>
      <c r="H69" s="47" t="inlineStr">
        <is>
          <t>M</t>
        </is>
      </c>
      <c r="I69" s="52" t="n">
        <v>20</v>
      </c>
      <c r="J69" s="52" t="n">
        <v>20</v>
      </c>
      <c r="K69" s="54" t="n">
        <v>96</v>
      </c>
      <c r="L69" s="54" t="n">
        <v>96</v>
      </c>
      <c r="M69" s="54" t="n">
        <v>0</v>
      </c>
      <c r="N69" s="54" t="n">
        <v>72</v>
      </c>
      <c r="O69" s="54" t="n">
        <v>112</v>
      </c>
      <c r="P69" s="54" t="n">
        <v>0</v>
      </c>
      <c r="Q69" s="54" t="n">
        <v>0</v>
      </c>
      <c r="R69" s="52" t="n">
        <v>0</v>
      </c>
      <c r="S69" s="55" t="n">
        <v>72</v>
      </c>
      <c r="T69" s="55" t="n">
        <v>112</v>
      </c>
      <c r="U69" s="54" t="n">
        <v>1684</v>
      </c>
      <c r="V69" s="54" t="n">
        <v>1684</v>
      </c>
      <c r="W69" s="54" t="n">
        <v>0</v>
      </c>
      <c r="X69" s="54" t="n">
        <v>0</v>
      </c>
      <c r="Y69" s="54" t="n">
        <v>120</v>
      </c>
      <c r="Z69" s="56" t="n">
        <v>3279.79</v>
      </c>
      <c r="AA69" s="57" t="n">
        <v>4</v>
      </c>
      <c r="AB69" s="57" t="n">
        <v>24</v>
      </c>
      <c r="AC69" s="57" t="n">
        <v>445</v>
      </c>
      <c r="AD69" s="54" t="n">
        <v>0</v>
      </c>
      <c r="AE69" s="54" t="n">
        <v>0</v>
      </c>
      <c r="AF69" s="54" t="n">
        <v>0</v>
      </c>
      <c r="AG69" s="54" t="n">
        <v>0</v>
      </c>
      <c r="AH69" s="57" t="n">
        <v>24</v>
      </c>
      <c r="AI69" s="29" t="inlineStr">
        <is>
          <t>8 - REGULAR / NORMAL</t>
        </is>
      </c>
      <c r="AJ69" s="39" t="inlineStr">
        <is>
          <t>M - Centralizado via CD</t>
        </is>
      </c>
      <c r="AK69" s="29" t="inlineStr">
        <is>
          <t>Regular / Normal</t>
        </is>
      </c>
    </row>
    <row r="70" ht="20" customHeight="1">
      <c r="A70" s="45" t="n">
        <v>17</v>
      </c>
      <c r="B70" s="45" t="n">
        <v>19312</v>
      </c>
      <c r="C70" s="46" t="inlineStr">
        <is>
          <t>COT HASTES FLEX COTTONBABY C 75</t>
        </is>
      </c>
      <c r="D70" s="46" t="inlineStr">
        <is>
          <t>PERFUMARIA E LIMPEZA</t>
        </is>
      </c>
      <c r="E70" s="46" t="inlineStr">
        <is>
          <t>PERFUMARIA</t>
        </is>
      </c>
      <c r="F70" s="46" t="inlineStr">
        <is>
          <t>BATISTA</t>
        </is>
      </c>
      <c r="G70" s="46" t="inlineStr">
        <is>
          <t>6567 - HIGIE-PLUS INDUSTRIA E COM.LTDA</t>
        </is>
      </c>
      <c r="H70" s="47" t="inlineStr">
        <is>
          <t>M</t>
        </is>
      </c>
      <c r="I70" s="45" t="n">
        <v>72</v>
      </c>
      <c r="J70" s="45" t="n">
        <v>72</v>
      </c>
      <c r="K70" s="48" t="n">
        <v>131</v>
      </c>
      <c r="L70" s="48" t="n">
        <v>131</v>
      </c>
      <c r="M70" s="48" t="n">
        <v>0</v>
      </c>
      <c r="N70" s="48" t="n">
        <v>102</v>
      </c>
      <c r="O70" s="48" t="n">
        <v>174</v>
      </c>
      <c r="P70" s="48" t="n">
        <v>0</v>
      </c>
      <c r="Q70" s="48" t="n">
        <v>0</v>
      </c>
      <c r="R70" s="45" t="n">
        <v>0</v>
      </c>
      <c r="S70" s="49" t="n">
        <v>102</v>
      </c>
      <c r="T70" s="49" t="n">
        <v>174</v>
      </c>
      <c r="U70" s="48" t="n">
        <v>792</v>
      </c>
      <c r="V70" s="48" t="n">
        <v>792</v>
      </c>
      <c r="W70" s="48" t="n">
        <v>0</v>
      </c>
      <c r="X70" s="48" t="n">
        <v>0</v>
      </c>
      <c r="Y70" s="48" t="n">
        <v>362</v>
      </c>
      <c r="Z70" s="50" t="n">
        <v>1388.78</v>
      </c>
      <c r="AA70" s="51" t="n">
        <v>12.07</v>
      </c>
      <c r="AB70" s="51" t="n">
        <v>10.9</v>
      </c>
      <c r="AC70" s="51" t="n">
        <v>76.5</v>
      </c>
      <c r="AD70" s="48" t="n">
        <v>0</v>
      </c>
      <c r="AE70" s="48" t="n">
        <v>0</v>
      </c>
      <c r="AF70" s="48" t="n">
        <v>0</v>
      </c>
      <c r="AG70" s="48" t="n">
        <v>0</v>
      </c>
      <c r="AH70" s="51" t="n">
        <v>10.9</v>
      </c>
      <c r="AI70" s="29" t="inlineStr">
        <is>
          <t>8 - REGULAR / NORMAL</t>
        </is>
      </c>
      <c r="AJ70" s="39" t="inlineStr">
        <is>
          <t>M - Centralizado via CD</t>
        </is>
      </c>
      <c r="AK70" s="29" t="inlineStr">
        <is>
          <t>Regular / Normal</t>
        </is>
      </c>
    </row>
    <row r="71" ht="20" customHeight="1">
      <c r="A71" s="52" t="n">
        <v>17</v>
      </c>
      <c r="B71" s="52" t="n">
        <v>17315</v>
      </c>
      <c r="C71" s="53" t="inlineStr">
        <is>
          <t>DESOD ROLLON REXONA 50ML V8</t>
        </is>
      </c>
      <c r="D71" s="53" t="inlineStr">
        <is>
          <t>PERFUMARIA E LIMPEZA</t>
        </is>
      </c>
      <c r="E71" s="53" t="inlineStr">
        <is>
          <t>PERFUMARIA</t>
        </is>
      </c>
      <c r="F71" s="53" t="inlineStr">
        <is>
          <t>BATISTA</t>
        </is>
      </c>
      <c r="G71" s="53" t="inlineStr">
        <is>
          <t>5894 - UNIDASUL DISTRIBUIDORA ALIMENTICIA S/A</t>
        </is>
      </c>
      <c r="H71" s="47" t="inlineStr">
        <is>
          <t>M</t>
        </is>
      </c>
      <c r="I71" s="52" t="n">
        <v>12</v>
      </c>
      <c r="J71" s="52" t="n">
        <v>12</v>
      </c>
      <c r="K71" s="54" t="n">
        <v>40</v>
      </c>
      <c r="L71" s="54" t="n">
        <v>40</v>
      </c>
      <c r="M71" s="54" t="n">
        <v>0</v>
      </c>
      <c r="N71" s="54" t="n">
        <v>40</v>
      </c>
      <c r="O71" s="54" t="n">
        <v>52</v>
      </c>
      <c r="P71" s="54" t="n">
        <v>0</v>
      </c>
      <c r="Q71" s="54" t="n">
        <v>0</v>
      </c>
      <c r="R71" s="52" t="n">
        <v>0</v>
      </c>
      <c r="S71" s="55" t="n">
        <v>40</v>
      </c>
      <c r="T71" s="55" t="n">
        <v>52</v>
      </c>
      <c r="U71" s="54" t="n">
        <v>1032</v>
      </c>
      <c r="V71" s="54" t="n">
        <v>1032</v>
      </c>
      <c r="W71" s="54" t="n">
        <v>0</v>
      </c>
      <c r="X71" s="54" t="n">
        <v>0</v>
      </c>
      <c r="Y71" s="54" t="n">
        <v>40</v>
      </c>
      <c r="Z71" s="56" t="n">
        <v>399.28</v>
      </c>
      <c r="AA71" s="57" t="n">
        <v>1.33</v>
      </c>
      <c r="AB71" s="57" t="n">
        <v>30.1</v>
      </c>
      <c r="AC71" s="57" t="n">
        <v>806</v>
      </c>
      <c r="AD71" s="54" t="n">
        <v>0</v>
      </c>
      <c r="AE71" s="54" t="n">
        <v>0</v>
      </c>
      <c r="AF71" s="54" t="n">
        <v>12</v>
      </c>
      <c r="AG71" s="54" t="n">
        <v>12</v>
      </c>
      <c r="AH71" s="57" t="n">
        <v>39.1</v>
      </c>
      <c r="AI71" s="29" t="inlineStr">
        <is>
          <t>8 - REGULAR / NORMAL</t>
        </is>
      </c>
      <c r="AJ71" s="39" t="inlineStr">
        <is>
          <t>M - Centralizado via CD</t>
        </is>
      </c>
      <c r="AK71" s="29" t="inlineStr">
        <is>
          <t>Regular / Normal</t>
        </is>
      </c>
    </row>
    <row r="72" ht="20" customHeight="1">
      <c r="A72" s="45" t="n">
        <v>18</v>
      </c>
      <c r="B72" s="45" t="n">
        <v>2047</v>
      </c>
      <c r="C72" s="46" t="inlineStr">
        <is>
          <t>CAFE SOL IGUACU LT LV200G PG190G TRAD</t>
        </is>
      </c>
      <c r="D72" s="46" t="inlineStr">
        <is>
          <t>MERCEARIA</t>
        </is>
      </c>
      <c r="E72" s="46" t="inlineStr">
        <is>
          <t>MERCEARIA SECA</t>
        </is>
      </c>
      <c r="F72" s="46" t="inlineStr">
        <is>
          <t>WERTER</t>
        </is>
      </c>
      <c r="G72" s="46" t="inlineStr">
        <is>
          <t>8702 - CAFE TRES CORACOES S.A</t>
        </is>
      </c>
      <c r="H72" s="47" t="inlineStr">
        <is>
          <t>M</t>
        </is>
      </c>
      <c r="I72" s="45" t="n">
        <v>12</v>
      </c>
      <c r="J72" s="45" t="n">
        <v>12</v>
      </c>
      <c r="K72" s="48" t="n">
        <v>86</v>
      </c>
      <c r="L72" s="48" t="n">
        <v>86</v>
      </c>
      <c r="M72" s="48" t="n">
        <v>0</v>
      </c>
      <c r="N72" s="48" t="n">
        <v>84</v>
      </c>
      <c r="O72" s="48" t="n">
        <v>132</v>
      </c>
      <c r="P72" s="48" t="n">
        <v>0</v>
      </c>
      <c r="Q72" s="48" t="n">
        <v>0</v>
      </c>
      <c r="R72" s="45" t="n">
        <v>0</v>
      </c>
      <c r="S72" s="49" t="n">
        <v>84</v>
      </c>
      <c r="T72" s="49" t="n">
        <v>132</v>
      </c>
      <c r="U72" s="48" t="n">
        <v>3168</v>
      </c>
      <c r="V72" s="48" t="n">
        <v>3168</v>
      </c>
      <c r="W72" s="48" t="n">
        <v>0</v>
      </c>
      <c r="X72" s="48" t="n">
        <v>0</v>
      </c>
      <c r="Y72" s="48" t="n">
        <v>37</v>
      </c>
      <c r="Z72" s="50" t="n">
        <v>980.13</v>
      </c>
      <c r="AA72" s="51" t="n">
        <v>1.23</v>
      </c>
      <c r="AB72" s="51" t="n">
        <v>69.90000000000001</v>
      </c>
      <c r="AC72" s="51" t="n">
        <v>2645.5</v>
      </c>
      <c r="AD72" s="48" t="n">
        <v>0</v>
      </c>
      <c r="AE72" s="48" t="n">
        <v>0</v>
      </c>
      <c r="AF72" s="48" t="n">
        <v>0</v>
      </c>
      <c r="AG72" s="48" t="n">
        <v>0</v>
      </c>
      <c r="AH72" s="51" t="n">
        <v>69.90000000000001</v>
      </c>
      <c r="AI72" s="29" t="inlineStr">
        <is>
          <t>8 - REGULAR / NORMAL</t>
        </is>
      </c>
      <c r="AJ72" s="39" t="inlineStr">
        <is>
          <t>M - Centralizado via CD</t>
        </is>
      </c>
      <c r="AK72" s="29" t="inlineStr">
        <is>
          <t>Regular / Normal</t>
        </is>
      </c>
    </row>
    <row r="73" ht="20" customHeight="1">
      <c r="A73" s="52" t="n">
        <v>18</v>
      </c>
      <c r="B73" s="52" t="n">
        <v>2018</v>
      </c>
      <c r="C73" s="53" t="inlineStr">
        <is>
          <t>CAFE VACUO MELITTA 500G TRAD</t>
        </is>
      </c>
      <c r="D73" s="53" t="inlineStr">
        <is>
          <t>MERCEARIA</t>
        </is>
      </c>
      <c r="E73" s="53" t="inlineStr">
        <is>
          <t>MERCEARIA SECA</t>
        </is>
      </c>
      <c r="F73" s="53" t="inlineStr">
        <is>
          <t>WERTER</t>
        </is>
      </c>
      <c r="G73" s="53" t="inlineStr">
        <is>
          <t>10368 - MELITTA DO BRASIL E COMERCIO LTDA.</t>
        </is>
      </c>
      <c r="H73" s="47" t="inlineStr">
        <is>
          <t>M</t>
        </is>
      </c>
      <c r="I73" s="52" t="n">
        <v>20</v>
      </c>
      <c r="J73" s="52" t="n">
        <v>20</v>
      </c>
      <c r="K73" s="54" t="n">
        <v>105</v>
      </c>
      <c r="L73" s="54" t="n">
        <v>105</v>
      </c>
      <c r="M73" s="54" t="n">
        <v>0</v>
      </c>
      <c r="N73" s="54" t="n">
        <v>72</v>
      </c>
      <c r="O73" s="54" t="n">
        <v>112</v>
      </c>
      <c r="P73" s="54" t="n">
        <v>0</v>
      </c>
      <c r="Q73" s="54" t="n">
        <v>0</v>
      </c>
      <c r="R73" s="52" t="n">
        <v>0</v>
      </c>
      <c r="S73" s="55" t="n">
        <v>72</v>
      </c>
      <c r="T73" s="55" t="n">
        <v>112</v>
      </c>
      <c r="U73" s="54" t="n">
        <v>1684</v>
      </c>
      <c r="V73" s="54" t="n">
        <v>1684</v>
      </c>
      <c r="W73" s="54" t="n">
        <v>0</v>
      </c>
      <c r="X73" s="54" t="n">
        <v>0</v>
      </c>
      <c r="Y73" s="54" t="n">
        <v>73</v>
      </c>
      <c r="Z73" s="56" t="n">
        <v>1967</v>
      </c>
      <c r="AA73" s="57" t="n">
        <v>2.43</v>
      </c>
      <c r="AB73" s="57" t="n">
        <v>43.2</v>
      </c>
      <c r="AC73" s="57" t="n">
        <v>736.2</v>
      </c>
      <c r="AD73" s="54" t="n">
        <v>0</v>
      </c>
      <c r="AE73" s="54" t="n">
        <v>0</v>
      </c>
      <c r="AF73" s="54" t="n">
        <v>0</v>
      </c>
      <c r="AG73" s="54" t="n">
        <v>0</v>
      </c>
      <c r="AH73" s="57" t="n">
        <v>43.2</v>
      </c>
      <c r="AI73" s="29" t="inlineStr">
        <is>
          <t>8 - REGULAR / NORMAL</t>
        </is>
      </c>
      <c r="AJ73" s="39" t="inlineStr">
        <is>
          <t>M - Centralizado via CD</t>
        </is>
      </c>
      <c r="AK73" s="29" t="inlineStr">
        <is>
          <t>Regular / Normal</t>
        </is>
      </c>
    </row>
    <row r="74" ht="20" customHeight="1">
      <c r="A74" s="45" t="n">
        <v>18</v>
      </c>
      <c r="B74" s="45" t="n">
        <v>17315</v>
      </c>
      <c r="C74" s="46" t="inlineStr">
        <is>
          <t>DESOD ROLLON REXONA 50ML V8</t>
        </is>
      </c>
      <c r="D74" s="46" t="inlineStr">
        <is>
          <t>PERFUMARIA E LIMPEZA</t>
        </is>
      </c>
      <c r="E74" s="46" t="inlineStr">
        <is>
          <t>PERFUMARIA</t>
        </is>
      </c>
      <c r="F74" s="46" t="inlineStr">
        <is>
          <t>BATISTA</t>
        </is>
      </c>
      <c r="G74" s="46" t="inlineStr">
        <is>
          <t>5894 - UNIDASUL DISTRIBUIDORA ALIMENTICIA S/A</t>
        </is>
      </c>
      <c r="H74" s="47" t="inlineStr">
        <is>
          <t>M</t>
        </is>
      </c>
      <c r="I74" s="45" t="n">
        <v>12</v>
      </c>
      <c r="J74" s="45" t="n">
        <v>12</v>
      </c>
      <c r="K74" s="48" t="n">
        <v>37</v>
      </c>
      <c r="L74" s="48" t="n">
        <v>37</v>
      </c>
      <c r="M74" s="48" t="n">
        <v>0</v>
      </c>
      <c r="N74" s="48" t="n">
        <v>30</v>
      </c>
      <c r="O74" s="48" t="n">
        <v>42</v>
      </c>
      <c r="P74" s="48" t="n">
        <v>0</v>
      </c>
      <c r="Q74" s="48" t="n">
        <v>0</v>
      </c>
      <c r="R74" s="45" t="n">
        <v>0</v>
      </c>
      <c r="S74" s="49" t="n">
        <v>30</v>
      </c>
      <c r="T74" s="49" t="n">
        <v>42</v>
      </c>
      <c r="U74" s="48" t="n">
        <v>1032</v>
      </c>
      <c r="V74" s="48" t="n">
        <v>1032</v>
      </c>
      <c r="W74" s="48" t="n">
        <v>0</v>
      </c>
      <c r="X74" s="48" t="n">
        <v>0</v>
      </c>
      <c r="Y74" s="48" t="n">
        <v>19</v>
      </c>
      <c r="Z74" s="50" t="n">
        <v>187.81</v>
      </c>
      <c r="AA74" s="51" t="n">
        <v>0.63</v>
      </c>
      <c r="AB74" s="51" t="n">
        <v>58.7</v>
      </c>
      <c r="AC74" s="51" t="n">
        <v>1696.8</v>
      </c>
      <c r="AD74" s="48" t="n">
        <v>0</v>
      </c>
      <c r="AE74" s="48" t="n">
        <v>0</v>
      </c>
      <c r="AF74" s="48" t="n">
        <v>0</v>
      </c>
      <c r="AG74" s="48" t="n">
        <v>0</v>
      </c>
      <c r="AH74" s="51" t="n">
        <v>58.7</v>
      </c>
      <c r="AI74" s="29" t="inlineStr">
        <is>
          <t>8 - REGULAR / NORMAL</t>
        </is>
      </c>
      <c r="AJ74" s="39" t="inlineStr">
        <is>
          <t>M - Centralizado via CD</t>
        </is>
      </c>
      <c r="AK74" s="29" t="inlineStr">
        <is>
          <t>Regular / Normal</t>
        </is>
      </c>
    </row>
    <row r="75" ht="20" customHeight="1">
      <c r="A75" s="52" t="n">
        <v>1</v>
      </c>
      <c r="B75" s="52" t="n">
        <v>899</v>
      </c>
      <c r="C75" s="53" t="inlineStr">
        <is>
          <t>REFRIG FANTA UVA LT 350ML</t>
        </is>
      </c>
      <c r="D75" s="53" t="inlineStr">
        <is>
          <t>BEBIDAS</t>
        </is>
      </c>
      <c r="E75" s="53" t="inlineStr">
        <is>
          <t>BEBIDA</t>
        </is>
      </c>
      <c r="F75" s="53" t="inlineStr">
        <is>
          <t>NICOLAS</t>
        </is>
      </c>
      <c r="G75" s="53" t="inlineStr">
        <is>
          <t>15441 - SPAL IND BRAS BEBIDAS AS</t>
        </is>
      </c>
      <c r="H75" s="47" t="inlineStr">
        <is>
          <t>M</t>
        </is>
      </c>
      <c r="I75" s="52" t="n">
        <v>6</v>
      </c>
      <c r="J75" s="52" t="n">
        <v>6</v>
      </c>
      <c r="K75" s="54" t="n">
        <v>140</v>
      </c>
      <c r="L75" s="54" t="n">
        <v>140</v>
      </c>
      <c r="M75" s="54" t="n">
        <v>0</v>
      </c>
      <c r="N75" s="54" t="n">
        <v>50</v>
      </c>
      <c r="O75" s="54" t="n">
        <v>80</v>
      </c>
      <c r="P75" s="54" t="n">
        <v>0</v>
      </c>
      <c r="Q75" s="54" t="n">
        <v>0</v>
      </c>
      <c r="R75" s="52" t="n">
        <v>0</v>
      </c>
      <c r="S75" s="55" t="n">
        <v>50</v>
      </c>
      <c r="T75" s="55" t="n">
        <v>80</v>
      </c>
      <c r="U75" s="54" t="n">
        <v>74</v>
      </c>
      <c r="V75" s="54" t="n">
        <v>74</v>
      </c>
      <c r="W75" s="54" t="n">
        <v>0</v>
      </c>
      <c r="X75" s="54" t="n">
        <v>0</v>
      </c>
      <c r="Y75" s="54" t="n">
        <v>79</v>
      </c>
      <c r="Z75" s="56" t="n">
        <v>271.21</v>
      </c>
      <c r="AA75" s="57" t="n">
        <v>2.63</v>
      </c>
      <c r="AB75" s="57" t="n">
        <v>53.2</v>
      </c>
      <c r="AC75" s="57" t="n">
        <v>81.40000000000001</v>
      </c>
      <c r="AD75" s="54" t="n">
        <v>0</v>
      </c>
      <c r="AE75" s="54" t="n">
        <v>0</v>
      </c>
      <c r="AF75" s="54" t="n">
        <v>0</v>
      </c>
      <c r="AG75" s="54" t="n">
        <v>0</v>
      </c>
      <c r="AH75" s="57" t="n">
        <v>53.2</v>
      </c>
      <c r="AI75" s="30" t="inlineStr">
        <is>
          <t>9 - EXCESSO DE ESTOQUE (&gt; MAXIMO)</t>
        </is>
      </c>
      <c r="AJ75" s="39" t="inlineStr">
        <is>
          <t>M - Centralizado via CD</t>
        </is>
      </c>
      <c r="AK75" s="30" t="inlineStr">
        <is>
          <t>Excesso de Estoque</t>
        </is>
      </c>
    </row>
    <row r="76" ht="20" customHeight="1">
      <c r="A76" s="45" t="n">
        <v>1</v>
      </c>
      <c r="B76" s="45" t="n">
        <v>2027</v>
      </c>
      <c r="C76" s="46" t="inlineStr">
        <is>
          <t>CAFE VACUO MELITTA 250G EXTRA FORTE</t>
        </is>
      </c>
      <c r="D76" s="46" t="inlineStr">
        <is>
          <t>MERCEARIA</t>
        </is>
      </c>
      <c r="E76" s="46" t="inlineStr">
        <is>
          <t>MERCEARIA SECA</t>
        </is>
      </c>
      <c r="F76" s="46" t="inlineStr">
        <is>
          <t>WERTER</t>
        </is>
      </c>
      <c r="G76" s="46" t="inlineStr">
        <is>
          <t>10368 - MELITTA DO BRASIL E COMERCIO LTDA.</t>
        </is>
      </c>
      <c r="H76" s="47" t="inlineStr">
        <is>
          <t>M</t>
        </is>
      </c>
      <c r="I76" s="45" t="n">
        <v>20</v>
      </c>
      <c r="J76" s="45" t="n">
        <v>20</v>
      </c>
      <c r="K76" s="48" t="n">
        <v>73</v>
      </c>
      <c r="L76" s="48" t="n">
        <v>73</v>
      </c>
      <c r="M76" s="48" t="n">
        <v>0</v>
      </c>
      <c r="N76" s="48" t="n">
        <v>12</v>
      </c>
      <c r="O76" s="48" t="n">
        <v>32</v>
      </c>
      <c r="P76" s="48" t="n">
        <v>0</v>
      </c>
      <c r="Q76" s="48" t="n">
        <v>0</v>
      </c>
      <c r="R76" s="45" t="n">
        <v>0</v>
      </c>
      <c r="S76" s="49" t="n">
        <v>12</v>
      </c>
      <c r="T76" s="49" t="n">
        <v>32</v>
      </c>
      <c r="U76" s="48" t="n">
        <v>180</v>
      </c>
      <c r="V76" s="48" t="n">
        <v>180</v>
      </c>
      <c r="W76" s="48" t="n">
        <v>0</v>
      </c>
      <c r="X76" s="48" t="n">
        <v>0</v>
      </c>
      <c r="Y76" s="48" t="n">
        <v>15</v>
      </c>
      <c r="Z76" s="50" t="n">
        <v>223.35</v>
      </c>
      <c r="AA76" s="51" t="n">
        <v>0.5</v>
      </c>
      <c r="AB76" s="51" t="n">
        <v>146</v>
      </c>
      <c r="AC76" s="51" t="n">
        <v>506</v>
      </c>
      <c r="AD76" s="48" t="n">
        <v>0</v>
      </c>
      <c r="AE76" s="48" t="n">
        <v>0</v>
      </c>
      <c r="AF76" s="48" t="n">
        <v>0</v>
      </c>
      <c r="AG76" s="48" t="n">
        <v>0</v>
      </c>
      <c r="AH76" s="51" t="n">
        <v>146</v>
      </c>
      <c r="AI76" s="30" t="inlineStr">
        <is>
          <t>9 - EXCESSO DE ESTOQUE (&gt; MAXIMO)</t>
        </is>
      </c>
      <c r="AJ76" s="39" t="inlineStr">
        <is>
          <t>M - Centralizado via CD</t>
        </is>
      </c>
      <c r="AK76" s="30" t="inlineStr">
        <is>
          <t>Excesso de Estoque</t>
        </is>
      </c>
    </row>
    <row r="77" ht="20" customHeight="1">
      <c r="A77" s="52" t="n">
        <v>1</v>
      </c>
      <c r="B77" s="52" t="n">
        <v>2028</v>
      </c>
      <c r="C77" s="53" t="inlineStr">
        <is>
          <t>CAFE VACUO MELITTA 250G TRAD</t>
        </is>
      </c>
      <c r="D77" s="53" t="inlineStr">
        <is>
          <t>MERCEARIA</t>
        </is>
      </c>
      <c r="E77" s="53" t="inlineStr">
        <is>
          <t>MERCEARIA SECA</t>
        </is>
      </c>
      <c r="F77" s="53" t="inlineStr">
        <is>
          <t>WERTER</t>
        </is>
      </c>
      <c r="G77" s="53" t="inlineStr">
        <is>
          <t>10368 - MELITTA DO BRASIL E COMERCIO LTDA.</t>
        </is>
      </c>
      <c r="H77" s="47" t="inlineStr">
        <is>
          <t>M</t>
        </is>
      </c>
      <c r="I77" s="52" t="n">
        <v>20</v>
      </c>
      <c r="J77" s="52" t="n">
        <v>20</v>
      </c>
      <c r="K77" s="54" t="n">
        <v>59</v>
      </c>
      <c r="L77" s="54" t="n">
        <v>59</v>
      </c>
      <c r="M77" s="54" t="n">
        <v>0</v>
      </c>
      <c r="N77" s="54" t="n">
        <v>12</v>
      </c>
      <c r="O77" s="54" t="n">
        <v>32</v>
      </c>
      <c r="P77" s="54" t="n">
        <v>0</v>
      </c>
      <c r="Q77" s="54" t="n">
        <v>0</v>
      </c>
      <c r="R77" s="52" t="n">
        <v>0</v>
      </c>
      <c r="S77" s="55" t="n">
        <v>12</v>
      </c>
      <c r="T77" s="55" t="n">
        <v>32</v>
      </c>
      <c r="U77" s="54" t="n">
        <v>1880</v>
      </c>
      <c r="V77" s="54" t="n">
        <v>1880</v>
      </c>
      <c r="W77" s="54" t="n">
        <v>0</v>
      </c>
      <c r="X77" s="54" t="n">
        <v>0</v>
      </c>
      <c r="Y77" s="54" t="n">
        <v>19</v>
      </c>
      <c r="Z77" s="56" t="n">
        <v>282.91</v>
      </c>
      <c r="AA77" s="57" t="n">
        <v>0.63</v>
      </c>
      <c r="AB77" s="57" t="n">
        <v>93.7</v>
      </c>
      <c r="AC77" s="57" t="n">
        <v>3077.8</v>
      </c>
      <c r="AD77" s="54" t="n">
        <v>0</v>
      </c>
      <c r="AE77" s="54" t="n">
        <v>0</v>
      </c>
      <c r="AF77" s="54" t="n">
        <v>0</v>
      </c>
      <c r="AG77" s="54" t="n">
        <v>0</v>
      </c>
      <c r="AH77" s="57" t="n">
        <v>93.7</v>
      </c>
      <c r="AI77" s="30" t="inlineStr">
        <is>
          <t>9 - EXCESSO DE ESTOQUE (&gt; MAXIMO)</t>
        </is>
      </c>
      <c r="AJ77" s="39" t="inlineStr">
        <is>
          <t>M - Centralizado via CD</t>
        </is>
      </c>
      <c r="AK77" s="30" t="inlineStr">
        <is>
          <t>Excesso de Estoque</t>
        </is>
      </c>
    </row>
    <row r="78" ht="20" customHeight="1">
      <c r="A78" s="45" t="n">
        <v>1</v>
      </c>
      <c r="B78" s="45" t="n">
        <v>2020</v>
      </c>
      <c r="C78" s="46" t="inlineStr">
        <is>
          <t>CAFE VACUO MELITTA 500G EXTRA FORTE</t>
        </is>
      </c>
      <c r="D78" s="46" t="inlineStr">
        <is>
          <t>MERCEARIA</t>
        </is>
      </c>
      <c r="E78" s="46" t="inlineStr">
        <is>
          <t>MERCEARIA SECA</t>
        </is>
      </c>
      <c r="F78" s="46" t="inlineStr">
        <is>
          <t>WERTER</t>
        </is>
      </c>
      <c r="G78" s="46" t="inlineStr">
        <is>
          <t>10368 - MELITTA DO BRASIL E COMERCIO LTDA.</t>
        </is>
      </c>
      <c r="H78" s="47" t="inlineStr">
        <is>
          <t>M</t>
        </is>
      </c>
      <c r="I78" s="45" t="n">
        <v>20</v>
      </c>
      <c r="J78" s="45" t="n">
        <v>20</v>
      </c>
      <c r="K78" s="48" t="n">
        <v>55</v>
      </c>
      <c r="L78" s="48" t="n">
        <v>55</v>
      </c>
      <c r="M78" s="48" t="n">
        <v>0</v>
      </c>
      <c r="N78" s="48" t="n">
        <v>12</v>
      </c>
      <c r="O78" s="48" t="n">
        <v>32</v>
      </c>
      <c r="P78" s="48" t="n">
        <v>0</v>
      </c>
      <c r="Q78" s="48" t="n">
        <v>0</v>
      </c>
      <c r="R78" s="45" t="n">
        <v>0</v>
      </c>
      <c r="S78" s="49" t="n">
        <v>12</v>
      </c>
      <c r="T78" s="49" t="n">
        <v>32</v>
      </c>
      <c r="U78" s="48" t="n">
        <v>401</v>
      </c>
      <c r="V78" s="48" t="n">
        <v>400</v>
      </c>
      <c r="W78" s="48" t="n">
        <v>0</v>
      </c>
      <c r="X78" s="48" t="n">
        <v>1</v>
      </c>
      <c r="Y78" s="48" t="n">
        <v>59</v>
      </c>
      <c r="Z78" s="50" t="n">
        <v>1603.57</v>
      </c>
      <c r="AA78" s="51" t="n">
        <v>1.97</v>
      </c>
      <c r="AB78" s="51" t="n">
        <v>27.9</v>
      </c>
      <c r="AC78" s="51" t="n">
        <v>231.5</v>
      </c>
      <c r="AD78" s="48" t="n">
        <v>0</v>
      </c>
      <c r="AE78" s="48" t="n">
        <v>0</v>
      </c>
      <c r="AF78" s="48" t="n">
        <v>0</v>
      </c>
      <c r="AG78" s="48" t="n">
        <v>0</v>
      </c>
      <c r="AH78" s="51" t="n">
        <v>27.9</v>
      </c>
      <c r="AI78" s="30" t="inlineStr">
        <is>
          <t>9 - EXCESSO DE ESTOQUE (&gt; MAXIMO)</t>
        </is>
      </c>
      <c r="AJ78" s="39" t="inlineStr">
        <is>
          <t>M - Centralizado via CD</t>
        </is>
      </c>
      <c r="AK78" s="30" t="inlineStr">
        <is>
          <t>Excesso de Estoque</t>
        </is>
      </c>
    </row>
    <row r="79" ht="20" customHeight="1">
      <c r="A79" s="52" t="n">
        <v>1</v>
      </c>
      <c r="B79" s="52" t="n">
        <v>2018</v>
      </c>
      <c r="C79" s="53" t="inlineStr">
        <is>
          <t>CAFE VACUO MELITTA 500G TRAD</t>
        </is>
      </c>
      <c r="D79" s="53" t="inlineStr">
        <is>
          <t>MERCEARIA</t>
        </is>
      </c>
      <c r="E79" s="53" t="inlineStr">
        <is>
          <t>MERCEARIA SECA</t>
        </is>
      </c>
      <c r="F79" s="53" t="inlineStr">
        <is>
          <t>WERTER</t>
        </is>
      </c>
      <c r="G79" s="53" t="inlineStr">
        <is>
          <t>10368 - MELITTA DO BRASIL E COMERCIO LTDA.</t>
        </is>
      </c>
      <c r="H79" s="47" t="inlineStr">
        <is>
          <t>M</t>
        </is>
      </c>
      <c r="I79" s="52" t="n">
        <v>20</v>
      </c>
      <c r="J79" s="52" t="n">
        <v>20</v>
      </c>
      <c r="K79" s="54" t="n">
        <v>59</v>
      </c>
      <c r="L79" s="54" t="n">
        <v>59</v>
      </c>
      <c r="M79" s="54" t="n">
        <v>0</v>
      </c>
      <c r="N79" s="54" t="n">
        <v>12</v>
      </c>
      <c r="O79" s="54" t="n">
        <v>32</v>
      </c>
      <c r="P79" s="54" t="n">
        <v>0</v>
      </c>
      <c r="Q79" s="54" t="n">
        <v>0</v>
      </c>
      <c r="R79" s="52" t="n">
        <v>0</v>
      </c>
      <c r="S79" s="55" t="n">
        <v>12</v>
      </c>
      <c r="T79" s="55" t="n">
        <v>32</v>
      </c>
      <c r="U79" s="54" t="n">
        <v>1684</v>
      </c>
      <c r="V79" s="54" t="n">
        <v>1684</v>
      </c>
      <c r="W79" s="54" t="n">
        <v>0</v>
      </c>
      <c r="X79" s="54" t="n">
        <v>0</v>
      </c>
      <c r="Y79" s="54" t="n">
        <v>63</v>
      </c>
      <c r="Z79" s="56" t="n">
        <v>1687.63</v>
      </c>
      <c r="AA79" s="57" t="n">
        <v>2.1</v>
      </c>
      <c r="AB79" s="57" t="n">
        <v>28.1</v>
      </c>
      <c r="AC79" s="57" t="n">
        <v>830</v>
      </c>
      <c r="AD79" s="54" t="n">
        <v>0</v>
      </c>
      <c r="AE79" s="54" t="n">
        <v>0</v>
      </c>
      <c r="AF79" s="54" t="n">
        <v>0</v>
      </c>
      <c r="AG79" s="54" t="n">
        <v>0</v>
      </c>
      <c r="AH79" s="57" t="n">
        <v>28.1</v>
      </c>
      <c r="AI79" s="30" t="inlineStr">
        <is>
          <t>9 - EXCESSO DE ESTOQUE (&gt; MAXIMO)</t>
        </is>
      </c>
      <c r="AJ79" s="39" t="inlineStr">
        <is>
          <t>M - Centralizado via CD</t>
        </is>
      </c>
      <c r="AK79" s="30" t="inlineStr">
        <is>
          <t>Excesso de Estoque</t>
        </is>
      </c>
    </row>
    <row r="80" ht="20" customHeight="1">
      <c r="A80" s="45" t="n">
        <v>1</v>
      </c>
      <c r="B80" s="45" t="n">
        <v>19312</v>
      </c>
      <c r="C80" s="46" t="inlineStr">
        <is>
          <t>COT HASTES FLEX COTTONBABY C 75</t>
        </is>
      </c>
      <c r="D80" s="46" t="inlineStr">
        <is>
          <t>PERFUMARIA E LIMPEZA</t>
        </is>
      </c>
      <c r="E80" s="46" t="inlineStr">
        <is>
          <t>PERFUMARIA</t>
        </is>
      </c>
      <c r="F80" s="46" t="inlineStr">
        <is>
          <t>BATISTA</t>
        </is>
      </c>
      <c r="G80" s="46" t="inlineStr">
        <is>
          <t>6567 - HIGIE-PLUS INDUSTRIA E COM.LTDA</t>
        </is>
      </c>
      <c r="H80" s="47" t="inlineStr">
        <is>
          <t>M</t>
        </is>
      </c>
      <c r="I80" s="45" t="n">
        <v>72</v>
      </c>
      <c r="J80" s="45" t="n">
        <v>72</v>
      </c>
      <c r="K80" s="48" t="n">
        <v>158</v>
      </c>
      <c r="L80" s="48" t="n">
        <v>158</v>
      </c>
      <c r="M80" s="48" t="n">
        <v>0</v>
      </c>
      <c r="N80" s="48" t="n">
        <v>44</v>
      </c>
      <c r="O80" s="48" t="n">
        <v>116</v>
      </c>
      <c r="P80" s="48" t="n">
        <v>0</v>
      </c>
      <c r="Q80" s="48" t="n">
        <v>0</v>
      </c>
      <c r="R80" s="45" t="n">
        <v>0</v>
      </c>
      <c r="S80" s="49" t="n">
        <v>44</v>
      </c>
      <c r="T80" s="49" t="n">
        <v>116</v>
      </c>
      <c r="U80" s="48" t="n">
        <v>792</v>
      </c>
      <c r="V80" s="48" t="n">
        <v>792</v>
      </c>
      <c r="W80" s="48" t="n">
        <v>0</v>
      </c>
      <c r="X80" s="48" t="n">
        <v>0</v>
      </c>
      <c r="Y80" s="48" t="n">
        <v>18</v>
      </c>
      <c r="Z80" s="50" t="n">
        <v>69.42</v>
      </c>
      <c r="AA80" s="51" t="n">
        <v>0.6</v>
      </c>
      <c r="AB80" s="51" t="n">
        <v>263.3</v>
      </c>
      <c r="AC80" s="51" t="n">
        <v>1583.3</v>
      </c>
      <c r="AD80" s="48" t="n">
        <v>0</v>
      </c>
      <c r="AE80" s="48" t="n">
        <v>0</v>
      </c>
      <c r="AF80" s="48" t="n">
        <v>0</v>
      </c>
      <c r="AG80" s="48" t="n">
        <v>0</v>
      </c>
      <c r="AH80" s="51" t="n">
        <v>263.3</v>
      </c>
      <c r="AI80" s="30" t="inlineStr">
        <is>
          <t>9 - EXCESSO DE ESTOQUE (&gt; MAXIMO)</t>
        </is>
      </c>
      <c r="AJ80" s="39" t="inlineStr">
        <is>
          <t>M - Centralizado via CD</t>
        </is>
      </c>
      <c r="AK80" s="30" t="inlineStr">
        <is>
          <t>Excesso de Estoque</t>
        </is>
      </c>
    </row>
    <row r="81" ht="20" customHeight="1">
      <c r="A81" s="52" t="n">
        <v>2</v>
      </c>
      <c r="B81" s="52" t="n">
        <v>899</v>
      </c>
      <c r="C81" s="53" t="inlineStr">
        <is>
          <t>REFRIG FANTA UVA LT 350ML</t>
        </is>
      </c>
      <c r="D81" s="53" t="inlineStr">
        <is>
          <t>BEBIDAS</t>
        </is>
      </c>
      <c r="E81" s="53" t="inlineStr">
        <is>
          <t>BEBIDA</t>
        </is>
      </c>
      <c r="F81" s="53" t="inlineStr">
        <is>
          <t>NICOLAS</t>
        </is>
      </c>
      <c r="G81" s="53" t="inlineStr">
        <is>
          <t>15441 - SPAL IND BRAS BEBIDAS AS</t>
        </is>
      </c>
      <c r="H81" s="47" t="inlineStr">
        <is>
          <t>M</t>
        </is>
      </c>
      <c r="I81" s="52" t="n">
        <v>6</v>
      </c>
      <c r="J81" s="52" t="n">
        <v>6</v>
      </c>
      <c r="K81" s="54" t="n">
        <v>65</v>
      </c>
      <c r="L81" s="54" t="n">
        <v>65</v>
      </c>
      <c r="M81" s="54" t="n">
        <v>0</v>
      </c>
      <c r="N81" s="54" t="n">
        <v>40</v>
      </c>
      <c r="O81" s="54" t="n">
        <v>64</v>
      </c>
      <c r="P81" s="54" t="n">
        <v>0</v>
      </c>
      <c r="Q81" s="54" t="n">
        <v>0</v>
      </c>
      <c r="R81" s="52" t="n">
        <v>0</v>
      </c>
      <c r="S81" s="55" t="n">
        <v>40</v>
      </c>
      <c r="T81" s="55" t="n">
        <v>64</v>
      </c>
      <c r="U81" s="54" t="n">
        <v>74</v>
      </c>
      <c r="V81" s="54" t="n">
        <v>74</v>
      </c>
      <c r="W81" s="54" t="n">
        <v>0</v>
      </c>
      <c r="X81" s="54" t="n">
        <v>0</v>
      </c>
      <c r="Y81" s="54" t="n">
        <v>152</v>
      </c>
      <c r="Z81" s="56" t="n">
        <v>506.48</v>
      </c>
      <c r="AA81" s="57" t="n">
        <v>5.07</v>
      </c>
      <c r="AB81" s="57" t="n">
        <v>12.8</v>
      </c>
      <c r="AC81" s="57" t="n">
        <v>27.4</v>
      </c>
      <c r="AD81" s="54" t="n">
        <v>0</v>
      </c>
      <c r="AE81" s="54" t="n">
        <v>0</v>
      </c>
      <c r="AF81" s="54" t="n">
        <v>60</v>
      </c>
      <c r="AG81" s="54" t="n">
        <v>60</v>
      </c>
      <c r="AH81" s="57" t="n">
        <v>24.7</v>
      </c>
      <c r="AI81" s="30" t="inlineStr">
        <is>
          <t>9 - EXCESSO DE ESTOQUE (&gt; MAXIMO)</t>
        </is>
      </c>
      <c r="AJ81" s="39" t="inlineStr">
        <is>
          <t>M - Centralizado via CD</t>
        </is>
      </c>
      <c r="AK81" s="30" t="inlineStr">
        <is>
          <t>Excesso de Estoque</t>
        </is>
      </c>
    </row>
    <row r="82" ht="20" customHeight="1">
      <c r="A82" s="45" t="n">
        <v>2</v>
      </c>
      <c r="B82" s="45" t="n">
        <v>2027</v>
      </c>
      <c r="C82" s="46" t="inlineStr">
        <is>
          <t>CAFE VACUO MELITTA 250G EXTRA FORTE</t>
        </is>
      </c>
      <c r="D82" s="46" t="inlineStr">
        <is>
          <t>MERCEARIA</t>
        </is>
      </c>
      <c r="E82" s="46" t="inlineStr">
        <is>
          <t>MERCEARIA SECA</t>
        </is>
      </c>
      <c r="F82" s="46" t="inlineStr">
        <is>
          <t>WERTER</t>
        </is>
      </c>
      <c r="G82" s="46" t="inlineStr">
        <is>
          <t>10368 - MELITTA DO BRASIL E COMERCIO LTDA.</t>
        </is>
      </c>
      <c r="H82" s="47" t="inlineStr">
        <is>
          <t>M</t>
        </is>
      </c>
      <c r="I82" s="45" t="n">
        <v>20</v>
      </c>
      <c r="J82" s="45" t="n">
        <v>20</v>
      </c>
      <c r="K82" s="48" t="n">
        <v>67</v>
      </c>
      <c r="L82" s="48" t="n">
        <v>67</v>
      </c>
      <c r="M82" s="48" t="n">
        <v>0</v>
      </c>
      <c r="N82" s="48" t="n">
        <v>12</v>
      </c>
      <c r="O82" s="48" t="n">
        <v>32</v>
      </c>
      <c r="P82" s="48" t="n">
        <v>0</v>
      </c>
      <c r="Q82" s="48" t="n">
        <v>0</v>
      </c>
      <c r="R82" s="45" t="n">
        <v>0</v>
      </c>
      <c r="S82" s="49" t="n">
        <v>12</v>
      </c>
      <c r="T82" s="49" t="n">
        <v>32</v>
      </c>
      <c r="U82" s="48" t="n">
        <v>180</v>
      </c>
      <c r="V82" s="48" t="n">
        <v>180</v>
      </c>
      <c r="W82" s="48" t="n">
        <v>0</v>
      </c>
      <c r="X82" s="48" t="n">
        <v>0</v>
      </c>
      <c r="Y82" s="48" t="n">
        <v>84</v>
      </c>
      <c r="Z82" s="50" t="n">
        <v>1250.76</v>
      </c>
      <c r="AA82" s="51" t="n">
        <v>2.8</v>
      </c>
      <c r="AB82" s="51" t="n">
        <v>23.9</v>
      </c>
      <c r="AC82" s="51" t="n">
        <v>88.2</v>
      </c>
      <c r="AD82" s="48" t="n">
        <v>0</v>
      </c>
      <c r="AE82" s="48" t="n">
        <v>0</v>
      </c>
      <c r="AF82" s="48" t="n">
        <v>0</v>
      </c>
      <c r="AG82" s="48" t="n">
        <v>0</v>
      </c>
      <c r="AH82" s="51" t="n">
        <v>23.9</v>
      </c>
      <c r="AI82" s="30" t="inlineStr">
        <is>
          <t>9 - EXCESSO DE ESTOQUE (&gt; MAXIMO)</t>
        </is>
      </c>
      <c r="AJ82" s="39" t="inlineStr">
        <is>
          <t>M - Centralizado via CD</t>
        </is>
      </c>
      <c r="AK82" s="30" t="inlineStr">
        <is>
          <t>Excesso de Estoque</t>
        </is>
      </c>
    </row>
    <row r="83" ht="20" customHeight="1">
      <c r="A83" s="52" t="n">
        <v>2</v>
      </c>
      <c r="B83" s="52" t="n">
        <v>2028</v>
      </c>
      <c r="C83" s="53" t="inlineStr">
        <is>
          <t>CAFE VACUO MELITTA 250G TRAD</t>
        </is>
      </c>
      <c r="D83" s="53" t="inlineStr">
        <is>
          <t>MERCEARIA</t>
        </is>
      </c>
      <c r="E83" s="53" t="inlineStr">
        <is>
          <t>MERCEARIA SECA</t>
        </is>
      </c>
      <c r="F83" s="53" t="inlineStr">
        <is>
          <t>WERTER</t>
        </is>
      </c>
      <c r="G83" s="53" t="inlineStr">
        <is>
          <t>10368 - MELITTA DO BRASIL E COMERCIO LTDA.</t>
        </is>
      </c>
      <c r="H83" s="47" t="inlineStr">
        <is>
          <t>M</t>
        </is>
      </c>
      <c r="I83" s="52" t="n">
        <v>20</v>
      </c>
      <c r="J83" s="52" t="n">
        <v>20</v>
      </c>
      <c r="K83" s="54" t="n">
        <v>92</v>
      </c>
      <c r="L83" s="54" t="n">
        <v>92</v>
      </c>
      <c r="M83" s="54" t="n">
        <v>0</v>
      </c>
      <c r="N83" s="54" t="n">
        <v>24</v>
      </c>
      <c r="O83" s="54" t="n">
        <v>44</v>
      </c>
      <c r="P83" s="54" t="n">
        <v>0</v>
      </c>
      <c r="Q83" s="54" t="n">
        <v>0</v>
      </c>
      <c r="R83" s="52" t="n">
        <v>0</v>
      </c>
      <c r="S83" s="55" t="n">
        <v>24</v>
      </c>
      <c r="T83" s="55" t="n">
        <v>44</v>
      </c>
      <c r="U83" s="54" t="n">
        <v>1880</v>
      </c>
      <c r="V83" s="54" t="n">
        <v>1880</v>
      </c>
      <c r="W83" s="54" t="n">
        <v>0</v>
      </c>
      <c r="X83" s="54" t="n">
        <v>0</v>
      </c>
      <c r="Y83" s="54" t="n">
        <v>105</v>
      </c>
      <c r="Z83" s="56" t="n">
        <v>1563.45</v>
      </c>
      <c r="AA83" s="57" t="n">
        <v>3.5</v>
      </c>
      <c r="AB83" s="57" t="n">
        <v>26.3</v>
      </c>
      <c r="AC83" s="57" t="n">
        <v>563.4</v>
      </c>
      <c r="AD83" s="54" t="n">
        <v>0</v>
      </c>
      <c r="AE83" s="54" t="n">
        <v>0</v>
      </c>
      <c r="AF83" s="54" t="n">
        <v>0</v>
      </c>
      <c r="AG83" s="54" t="n">
        <v>0</v>
      </c>
      <c r="AH83" s="57" t="n">
        <v>26.3</v>
      </c>
      <c r="AI83" s="30" t="inlineStr">
        <is>
          <t>9 - EXCESSO DE ESTOQUE (&gt; MAXIMO)</t>
        </is>
      </c>
      <c r="AJ83" s="39" t="inlineStr">
        <is>
          <t>M - Centralizado via CD</t>
        </is>
      </c>
      <c r="AK83" s="30" t="inlineStr">
        <is>
          <t>Excesso de Estoque</t>
        </is>
      </c>
    </row>
    <row r="84" ht="20" customHeight="1">
      <c r="A84" s="45" t="n">
        <v>2</v>
      </c>
      <c r="B84" s="45" t="n">
        <v>2020</v>
      </c>
      <c r="C84" s="46" t="inlineStr">
        <is>
          <t>CAFE VACUO MELITTA 500G EXTRA FORTE</t>
        </is>
      </c>
      <c r="D84" s="46" t="inlineStr">
        <is>
          <t>MERCEARIA</t>
        </is>
      </c>
      <c r="E84" s="46" t="inlineStr">
        <is>
          <t>MERCEARIA SECA</t>
        </is>
      </c>
      <c r="F84" s="46" t="inlineStr">
        <is>
          <t>WERTER</t>
        </is>
      </c>
      <c r="G84" s="46" t="inlineStr">
        <is>
          <t>10368 - MELITTA DO BRASIL E COMERCIO LTDA.</t>
        </is>
      </c>
      <c r="H84" s="47" t="inlineStr">
        <is>
          <t>M</t>
        </is>
      </c>
      <c r="I84" s="45" t="n">
        <v>20</v>
      </c>
      <c r="J84" s="45" t="n">
        <v>20</v>
      </c>
      <c r="K84" s="48" t="n">
        <v>56</v>
      </c>
      <c r="L84" s="48" t="n">
        <v>56</v>
      </c>
      <c r="M84" s="48" t="n">
        <v>0</v>
      </c>
      <c r="N84" s="48" t="n">
        <v>14</v>
      </c>
      <c r="O84" s="48" t="n">
        <v>34</v>
      </c>
      <c r="P84" s="48" t="n">
        <v>0</v>
      </c>
      <c r="Q84" s="48" t="n">
        <v>0</v>
      </c>
      <c r="R84" s="45" t="n">
        <v>0</v>
      </c>
      <c r="S84" s="49" t="n">
        <v>14</v>
      </c>
      <c r="T84" s="49" t="n">
        <v>34</v>
      </c>
      <c r="U84" s="48" t="n">
        <v>401</v>
      </c>
      <c r="V84" s="48" t="n">
        <v>400</v>
      </c>
      <c r="W84" s="48" t="n">
        <v>0</v>
      </c>
      <c r="X84" s="48" t="n">
        <v>1</v>
      </c>
      <c r="Y84" s="48" t="n">
        <v>61</v>
      </c>
      <c r="Z84" s="50" t="n">
        <v>1648.69</v>
      </c>
      <c r="AA84" s="51" t="n">
        <v>2.03</v>
      </c>
      <c r="AB84" s="51" t="n">
        <v>27.6</v>
      </c>
      <c r="AC84" s="51" t="n">
        <v>225.1</v>
      </c>
      <c r="AD84" s="48" t="n">
        <v>0</v>
      </c>
      <c r="AE84" s="48" t="n">
        <v>0</v>
      </c>
      <c r="AF84" s="48" t="n">
        <v>0</v>
      </c>
      <c r="AG84" s="48" t="n">
        <v>0</v>
      </c>
      <c r="AH84" s="51" t="n">
        <v>27.6</v>
      </c>
      <c r="AI84" s="30" t="inlineStr">
        <is>
          <t>9 - EXCESSO DE ESTOQUE (&gt; MAXIMO)</t>
        </is>
      </c>
      <c r="AJ84" s="39" t="inlineStr">
        <is>
          <t>M - Centralizado via CD</t>
        </is>
      </c>
      <c r="AK84" s="30" t="inlineStr">
        <is>
          <t>Excesso de Estoque</t>
        </is>
      </c>
    </row>
    <row r="85" ht="20" customHeight="1">
      <c r="A85" s="52" t="n">
        <v>2</v>
      </c>
      <c r="B85" s="52" t="n">
        <v>2018</v>
      </c>
      <c r="C85" s="53" t="inlineStr">
        <is>
          <t>CAFE VACUO MELITTA 500G TRAD</t>
        </is>
      </c>
      <c r="D85" s="53" t="inlineStr">
        <is>
          <t>MERCEARIA</t>
        </is>
      </c>
      <c r="E85" s="53" t="inlineStr">
        <is>
          <t>MERCEARIA SECA</t>
        </is>
      </c>
      <c r="F85" s="53" t="inlineStr">
        <is>
          <t>WERTER</t>
        </is>
      </c>
      <c r="G85" s="53" t="inlineStr">
        <is>
          <t>10368 - MELITTA DO BRASIL E COMERCIO LTDA.</t>
        </is>
      </c>
      <c r="H85" s="47" t="inlineStr">
        <is>
          <t>M</t>
        </is>
      </c>
      <c r="I85" s="52" t="n">
        <v>20</v>
      </c>
      <c r="J85" s="52" t="n">
        <v>20</v>
      </c>
      <c r="K85" s="54" t="n">
        <v>86</v>
      </c>
      <c r="L85" s="54" t="n">
        <v>86</v>
      </c>
      <c r="M85" s="54" t="n">
        <v>0</v>
      </c>
      <c r="N85" s="54" t="n">
        <v>50</v>
      </c>
      <c r="O85" s="54" t="n">
        <v>70</v>
      </c>
      <c r="P85" s="54" t="n">
        <v>0</v>
      </c>
      <c r="Q85" s="54" t="n">
        <v>0</v>
      </c>
      <c r="R85" s="52" t="n">
        <v>0</v>
      </c>
      <c r="S85" s="55" t="n">
        <v>50</v>
      </c>
      <c r="T85" s="55" t="n">
        <v>70</v>
      </c>
      <c r="U85" s="54" t="n">
        <v>1684</v>
      </c>
      <c r="V85" s="54" t="n">
        <v>1684</v>
      </c>
      <c r="W85" s="54" t="n">
        <v>0</v>
      </c>
      <c r="X85" s="54" t="n">
        <v>0</v>
      </c>
      <c r="Y85" s="54" t="n">
        <v>135</v>
      </c>
      <c r="Z85" s="56" t="n">
        <v>3659.24</v>
      </c>
      <c r="AA85" s="57" t="n">
        <v>4.5</v>
      </c>
      <c r="AB85" s="57" t="n">
        <v>19.1</v>
      </c>
      <c r="AC85" s="57" t="n">
        <v>393.3</v>
      </c>
      <c r="AD85" s="54" t="n">
        <v>0</v>
      </c>
      <c r="AE85" s="54" t="n">
        <v>0</v>
      </c>
      <c r="AF85" s="54" t="n">
        <v>0</v>
      </c>
      <c r="AG85" s="54" t="n">
        <v>0</v>
      </c>
      <c r="AH85" s="57" t="n">
        <v>19.1</v>
      </c>
      <c r="AI85" s="30" t="inlineStr">
        <is>
          <t>9 - EXCESSO DE ESTOQUE (&gt; MAXIMO)</t>
        </is>
      </c>
      <c r="AJ85" s="39" t="inlineStr">
        <is>
          <t>M - Centralizado via CD</t>
        </is>
      </c>
      <c r="AK85" s="30" t="inlineStr">
        <is>
          <t>Excesso de Estoque</t>
        </is>
      </c>
    </row>
    <row r="86" ht="20" customHeight="1">
      <c r="A86" s="45" t="n">
        <v>3</v>
      </c>
      <c r="B86" s="45" t="n">
        <v>899</v>
      </c>
      <c r="C86" s="46" t="inlineStr">
        <is>
          <t>REFRIG FANTA UVA LT 350ML</t>
        </is>
      </c>
      <c r="D86" s="46" t="inlineStr">
        <is>
          <t>BEBIDAS</t>
        </is>
      </c>
      <c r="E86" s="46" t="inlineStr">
        <is>
          <t>BEBIDA</t>
        </is>
      </c>
      <c r="F86" s="46" t="inlineStr">
        <is>
          <t>NICOLAS</t>
        </is>
      </c>
      <c r="G86" s="46" t="inlineStr">
        <is>
          <t>15441 - SPAL IND BRAS BEBIDAS AS</t>
        </is>
      </c>
      <c r="H86" s="47" t="inlineStr">
        <is>
          <t>M</t>
        </is>
      </c>
      <c r="I86" s="45" t="n">
        <v>6</v>
      </c>
      <c r="J86" s="45" t="n">
        <v>6</v>
      </c>
      <c r="K86" s="48" t="n">
        <v>193</v>
      </c>
      <c r="L86" s="48" t="n">
        <v>193</v>
      </c>
      <c r="M86" s="48" t="n">
        <v>0</v>
      </c>
      <c r="N86" s="48" t="n">
        <v>96</v>
      </c>
      <c r="O86" s="48" t="n">
        <v>150</v>
      </c>
      <c r="P86" s="48" t="n">
        <v>0</v>
      </c>
      <c r="Q86" s="48" t="n">
        <v>0</v>
      </c>
      <c r="R86" s="45" t="n">
        <v>0</v>
      </c>
      <c r="S86" s="49" t="n">
        <v>96</v>
      </c>
      <c r="T86" s="49" t="n">
        <v>150</v>
      </c>
      <c r="U86" s="48" t="n">
        <v>74</v>
      </c>
      <c r="V86" s="48" t="n">
        <v>74</v>
      </c>
      <c r="W86" s="48" t="n">
        <v>0</v>
      </c>
      <c r="X86" s="48" t="n">
        <v>0</v>
      </c>
      <c r="Y86" s="48" t="n">
        <v>303</v>
      </c>
      <c r="Z86" s="50" t="n">
        <v>1031.97</v>
      </c>
      <c r="AA86" s="51" t="n">
        <v>10.1</v>
      </c>
      <c r="AB86" s="51" t="n">
        <v>19.1</v>
      </c>
      <c r="AC86" s="51" t="n">
        <v>26.4</v>
      </c>
      <c r="AD86" s="48" t="n">
        <v>0</v>
      </c>
      <c r="AE86" s="48" t="n">
        <v>0</v>
      </c>
      <c r="AF86" s="48" t="n">
        <v>0</v>
      </c>
      <c r="AG86" s="48" t="n">
        <v>0</v>
      </c>
      <c r="AH86" s="51" t="n">
        <v>19.1</v>
      </c>
      <c r="AI86" s="30" t="inlineStr">
        <is>
          <t>9 - EXCESSO DE ESTOQUE (&gt; MAXIMO)</t>
        </is>
      </c>
      <c r="AJ86" s="39" t="inlineStr">
        <is>
          <t>M - Centralizado via CD</t>
        </is>
      </c>
      <c r="AK86" s="30" t="inlineStr">
        <is>
          <t>Excesso de Estoque</t>
        </is>
      </c>
    </row>
    <row r="87" ht="20" customHeight="1">
      <c r="A87" s="52" t="n">
        <v>3</v>
      </c>
      <c r="B87" s="52" t="n">
        <v>2047</v>
      </c>
      <c r="C87" s="53" t="inlineStr">
        <is>
          <t>CAFE SOL IGUACU LT LV200G PG190G TRAD</t>
        </is>
      </c>
      <c r="D87" s="53" t="inlineStr">
        <is>
          <t>MERCEARIA</t>
        </is>
      </c>
      <c r="E87" s="53" t="inlineStr">
        <is>
          <t>MERCEARIA SECA</t>
        </is>
      </c>
      <c r="F87" s="53" t="inlineStr">
        <is>
          <t>WERTER</t>
        </is>
      </c>
      <c r="G87" s="53" t="inlineStr">
        <is>
          <t>8702 - CAFE TRES CORACOES S.A</t>
        </is>
      </c>
      <c r="H87" s="47" t="inlineStr">
        <is>
          <t>M</t>
        </is>
      </c>
      <c r="I87" s="52" t="n">
        <v>12</v>
      </c>
      <c r="J87" s="52" t="n">
        <v>12</v>
      </c>
      <c r="K87" s="54" t="n">
        <v>215</v>
      </c>
      <c r="L87" s="54" t="n">
        <v>215</v>
      </c>
      <c r="M87" s="54" t="n">
        <v>0</v>
      </c>
      <c r="N87" s="54" t="n">
        <v>84</v>
      </c>
      <c r="O87" s="54" t="n">
        <v>132</v>
      </c>
      <c r="P87" s="54" t="n">
        <v>0</v>
      </c>
      <c r="Q87" s="54" t="n">
        <v>0</v>
      </c>
      <c r="R87" s="52" t="n">
        <v>0</v>
      </c>
      <c r="S87" s="55" t="n">
        <v>84</v>
      </c>
      <c r="T87" s="55" t="n">
        <v>132</v>
      </c>
      <c r="U87" s="54" t="n">
        <v>3168</v>
      </c>
      <c r="V87" s="54" t="n">
        <v>3168</v>
      </c>
      <c r="W87" s="54" t="n">
        <v>0</v>
      </c>
      <c r="X87" s="54" t="n">
        <v>0</v>
      </c>
      <c r="Y87" s="54" t="n">
        <v>158</v>
      </c>
      <c r="Z87" s="56" t="n">
        <v>4185.42</v>
      </c>
      <c r="AA87" s="57" t="n">
        <v>5.27</v>
      </c>
      <c r="AB87" s="57" t="n">
        <v>40.8</v>
      </c>
      <c r="AC87" s="57" t="n">
        <v>641.9</v>
      </c>
      <c r="AD87" s="54" t="n">
        <v>0</v>
      </c>
      <c r="AE87" s="54" t="n">
        <v>0</v>
      </c>
      <c r="AF87" s="54" t="n">
        <v>0</v>
      </c>
      <c r="AG87" s="54" t="n">
        <v>0</v>
      </c>
      <c r="AH87" s="57" t="n">
        <v>40.8</v>
      </c>
      <c r="AI87" s="30" t="inlineStr">
        <is>
          <t>9 - EXCESSO DE ESTOQUE (&gt; MAXIMO)</t>
        </is>
      </c>
      <c r="AJ87" s="39" t="inlineStr">
        <is>
          <t>M - Centralizado via CD</t>
        </is>
      </c>
      <c r="AK87" s="30" t="inlineStr">
        <is>
          <t>Excesso de Estoque</t>
        </is>
      </c>
    </row>
    <row r="88" ht="20" customHeight="1">
      <c r="A88" s="45" t="n">
        <v>3</v>
      </c>
      <c r="B88" s="45" t="n">
        <v>2027</v>
      </c>
      <c r="C88" s="46" t="inlineStr">
        <is>
          <t>CAFE VACUO MELITTA 250G EXTRA FORTE</t>
        </is>
      </c>
      <c r="D88" s="46" t="inlineStr">
        <is>
          <t>MERCEARIA</t>
        </is>
      </c>
      <c r="E88" s="46" t="inlineStr">
        <is>
          <t>MERCEARIA SECA</t>
        </is>
      </c>
      <c r="F88" s="46" t="inlineStr">
        <is>
          <t>WERTER</t>
        </is>
      </c>
      <c r="G88" s="46" t="inlineStr">
        <is>
          <t>10368 - MELITTA DO BRASIL E COMERCIO LTDA.</t>
        </is>
      </c>
      <c r="H88" s="47" t="inlineStr">
        <is>
          <t>M</t>
        </is>
      </c>
      <c r="I88" s="45" t="n">
        <v>20</v>
      </c>
      <c r="J88" s="45" t="n">
        <v>20</v>
      </c>
      <c r="K88" s="48" t="n">
        <v>93</v>
      </c>
      <c r="L88" s="48" t="n">
        <v>93</v>
      </c>
      <c r="M88" s="48" t="n">
        <v>0</v>
      </c>
      <c r="N88" s="48" t="n">
        <v>28</v>
      </c>
      <c r="O88" s="48" t="n">
        <v>48</v>
      </c>
      <c r="P88" s="48" t="n">
        <v>0</v>
      </c>
      <c r="Q88" s="48" t="n">
        <v>0</v>
      </c>
      <c r="R88" s="45" t="n">
        <v>0</v>
      </c>
      <c r="S88" s="49" t="n">
        <v>28</v>
      </c>
      <c r="T88" s="49" t="n">
        <v>48</v>
      </c>
      <c r="U88" s="48" t="n">
        <v>180</v>
      </c>
      <c r="V88" s="48" t="n">
        <v>180</v>
      </c>
      <c r="W88" s="48" t="n">
        <v>0</v>
      </c>
      <c r="X88" s="48" t="n">
        <v>0</v>
      </c>
      <c r="Y88" s="48" t="n">
        <v>103</v>
      </c>
      <c r="Z88" s="50" t="n">
        <v>1533.67</v>
      </c>
      <c r="AA88" s="51" t="n">
        <v>3.43</v>
      </c>
      <c r="AB88" s="51" t="n">
        <v>27.1</v>
      </c>
      <c r="AC88" s="51" t="n">
        <v>79.59999999999999</v>
      </c>
      <c r="AD88" s="48" t="n">
        <v>0</v>
      </c>
      <c r="AE88" s="48" t="n">
        <v>0</v>
      </c>
      <c r="AF88" s="48" t="n">
        <v>0</v>
      </c>
      <c r="AG88" s="48" t="n">
        <v>0</v>
      </c>
      <c r="AH88" s="51" t="n">
        <v>27.1</v>
      </c>
      <c r="AI88" s="30" t="inlineStr">
        <is>
          <t>9 - EXCESSO DE ESTOQUE (&gt; MAXIMO)</t>
        </is>
      </c>
      <c r="AJ88" s="39" t="inlineStr">
        <is>
          <t>M - Centralizado via CD</t>
        </is>
      </c>
      <c r="AK88" s="30" t="inlineStr">
        <is>
          <t>Excesso de Estoque</t>
        </is>
      </c>
    </row>
    <row r="89" ht="20" customHeight="1">
      <c r="A89" s="52" t="n">
        <v>3</v>
      </c>
      <c r="B89" s="52" t="n">
        <v>2028</v>
      </c>
      <c r="C89" s="53" t="inlineStr">
        <is>
          <t>CAFE VACUO MELITTA 250G TRAD</t>
        </is>
      </c>
      <c r="D89" s="53" t="inlineStr">
        <is>
          <t>MERCEARIA</t>
        </is>
      </c>
      <c r="E89" s="53" t="inlineStr">
        <is>
          <t>MERCEARIA SECA</t>
        </is>
      </c>
      <c r="F89" s="53" t="inlineStr">
        <is>
          <t>WERTER</t>
        </is>
      </c>
      <c r="G89" s="53" t="inlineStr">
        <is>
          <t>10368 - MELITTA DO BRASIL E COMERCIO LTDA.</t>
        </is>
      </c>
      <c r="H89" s="47" t="inlineStr">
        <is>
          <t>M</t>
        </is>
      </c>
      <c r="I89" s="52" t="n">
        <v>20</v>
      </c>
      <c r="J89" s="52" t="n">
        <v>20</v>
      </c>
      <c r="K89" s="54" t="n">
        <v>164</v>
      </c>
      <c r="L89" s="54" t="n">
        <v>164</v>
      </c>
      <c r="M89" s="54" t="n">
        <v>0</v>
      </c>
      <c r="N89" s="54" t="n">
        <v>62</v>
      </c>
      <c r="O89" s="54" t="n">
        <v>82</v>
      </c>
      <c r="P89" s="54" t="n">
        <v>0</v>
      </c>
      <c r="Q89" s="54" t="n">
        <v>0</v>
      </c>
      <c r="R89" s="52" t="n">
        <v>0</v>
      </c>
      <c r="S89" s="55" t="n">
        <v>62</v>
      </c>
      <c r="T89" s="55" t="n">
        <v>82</v>
      </c>
      <c r="U89" s="54" t="n">
        <v>1880</v>
      </c>
      <c r="V89" s="54" t="n">
        <v>1880</v>
      </c>
      <c r="W89" s="54" t="n">
        <v>0</v>
      </c>
      <c r="X89" s="54" t="n">
        <v>0</v>
      </c>
      <c r="Y89" s="54" t="n">
        <v>325</v>
      </c>
      <c r="Z89" s="56" t="n">
        <v>4839.25</v>
      </c>
      <c r="AA89" s="57" t="n">
        <v>10.83</v>
      </c>
      <c r="AB89" s="57" t="n">
        <v>15.1</v>
      </c>
      <c r="AC89" s="57" t="n">
        <v>188.7</v>
      </c>
      <c r="AD89" s="54" t="n">
        <v>0</v>
      </c>
      <c r="AE89" s="54" t="n">
        <v>0</v>
      </c>
      <c r="AF89" s="54" t="n">
        <v>0</v>
      </c>
      <c r="AG89" s="54" t="n">
        <v>0</v>
      </c>
      <c r="AH89" s="57" t="n">
        <v>15.1</v>
      </c>
      <c r="AI89" s="30" t="inlineStr">
        <is>
          <t>9 - EXCESSO DE ESTOQUE (&gt; MAXIMO)</t>
        </is>
      </c>
      <c r="AJ89" s="39" t="inlineStr">
        <is>
          <t>M - Centralizado via CD</t>
        </is>
      </c>
      <c r="AK89" s="30" t="inlineStr">
        <is>
          <t>Excesso de Estoque</t>
        </is>
      </c>
    </row>
    <row r="90" ht="20" customHeight="1">
      <c r="A90" s="45" t="n">
        <v>4</v>
      </c>
      <c r="B90" s="45" t="n">
        <v>2047</v>
      </c>
      <c r="C90" s="46" t="inlineStr">
        <is>
          <t>CAFE SOL IGUACU LT LV200G PG190G TRAD</t>
        </is>
      </c>
      <c r="D90" s="46" t="inlineStr">
        <is>
          <t>MERCEARIA</t>
        </is>
      </c>
      <c r="E90" s="46" t="inlineStr">
        <is>
          <t>MERCEARIA SECA</t>
        </is>
      </c>
      <c r="F90" s="46" t="inlineStr">
        <is>
          <t>WERTER</t>
        </is>
      </c>
      <c r="G90" s="46" t="inlineStr">
        <is>
          <t>8702 - CAFE TRES CORACOES S.A</t>
        </is>
      </c>
      <c r="H90" s="47" t="inlineStr">
        <is>
          <t>M</t>
        </is>
      </c>
      <c r="I90" s="45" t="n">
        <v>12</v>
      </c>
      <c r="J90" s="45" t="n">
        <v>12</v>
      </c>
      <c r="K90" s="48" t="n">
        <v>43</v>
      </c>
      <c r="L90" s="48" t="n">
        <v>43</v>
      </c>
      <c r="M90" s="48" t="n">
        <v>0</v>
      </c>
      <c r="N90" s="48" t="n">
        <v>18</v>
      </c>
      <c r="O90" s="48" t="n">
        <v>30</v>
      </c>
      <c r="P90" s="48" t="n">
        <v>0</v>
      </c>
      <c r="Q90" s="48" t="n">
        <v>0</v>
      </c>
      <c r="R90" s="45" t="n">
        <v>0</v>
      </c>
      <c r="S90" s="49" t="n">
        <v>18</v>
      </c>
      <c r="T90" s="49" t="n">
        <v>30</v>
      </c>
      <c r="U90" s="48" t="n">
        <v>3168</v>
      </c>
      <c r="V90" s="48" t="n">
        <v>3168</v>
      </c>
      <c r="W90" s="48" t="n">
        <v>0</v>
      </c>
      <c r="X90" s="48" t="n">
        <v>0</v>
      </c>
      <c r="Y90" s="48" t="n">
        <v>50</v>
      </c>
      <c r="Z90" s="50" t="n">
        <v>1324.5</v>
      </c>
      <c r="AA90" s="51" t="n">
        <v>1.67</v>
      </c>
      <c r="AB90" s="51" t="n">
        <v>25.7</v>
      </c>
      <c r="AC90" s="51" t="n">
        <v>1922.8</v>
      </c>
      <c r="AD90" s="48" t="n">
        <v>0</v>
      </c>
      <c r="AE90" s="48" t="n">
        <v>0</v>
      </c>
      <c r="AF90" s="48" t="n">
        <v>0</v>
      </c>
      <c r="AG90" s="48" t="n">
        <v>0</v>
      </c>
      <c r="AH90" s="51" t="n">
        <v>25.7</v>
      </c>
      <c r="AI90" s="30" t="inlineStr">
        <is>
          <t>9 - EXCESSO DE ESTOQUE (&gt; MAXIMO)</t>
        </is>
      </c>
      <c r="AJ90" s="39" t="inlineStr">
        <is>
          <t>M - Centralizado via CD</t>
        </is>
      </c>
      <c r="AK90" s="30" t="inlineStr">
        <is>
          <t>Excesso de Estoque</t>
        </is>
      </c>
    </row>
    <row r="91" ht="20" customHeight="1">
      <c r="A91" s="52" t="n">
        <v>4</v>
      </c>
      <c r="B91" s="52" t="n">
        <v>2027</v>
      </c>
      <c r="C91" s="53" t="inlineStr">
        <is>
          <t>CAFE VACUO MELITTA 250G EXTRA FORTE</t>
        </is>
      </c>
      <c r="D91" s="53" t="inlineStr">
        <is>
          <t>MERCEARIA</t>
        </is>
      </c>
      <c r="E91" s="53" t="inlineStr">
        <is>
          <t>MERCEARIA SECA</t>
        </is>
      </c>
      <c r="F91" s="53" t="inlineStr">
        <is>
          <t>WERTER</t>
        </is>
      </c>
      <c r="G91" s="53" t="inlineStr">
        <is>
          <t>10368 - MELITTA DO BRASIL E COMERCIO LTDA.</t>
        </is>
      </c>
      <c r="H91" s="47" t="inlineStr">
        <is>
          <t>M</t>
        </is>
      </c>
      <c r="I91" s="52" t="n">
        <v>20</v>
      </c>
      <c r="J91" s="52" t="n">
        <v>20</v>
      </c>
      <c r="K91" s="54" t="n">
        <v>70</v>
      </c>
      <c r="L91" s="54" t="n">
        <v>70</v>
      </c>
      <c r="M91" s="54" t="n">
        <v>0</v>
      </c>
      <c r="N91" s="54" t="n">
        <v>16</v>
      </c>
      <c r="O91" s="54" t="n">
        <v>36</v>
      </c>
      <c r="P91" s="54" t="n">
        <v>0</v>
      </c>
      <c r="Q91" s="54" t="n">
        <v>0</v>
      </c>
      <c r="R91" s="52" t="n">
        <v>0</v>
      </c>
      <c r="S91" s="55" t="n">
        <v>16</v>
      </c>
      <c r="T91" s="55" t="n">
        <v>36</v>
      </c>
      <c r="U91" s="54" t="n">
        <v>180</v>
      </c>
      <c r="V91" s="54" t="n">
        <v>180</v>
      </c>
      <c r="W91" s="54" t="n">
        <v>0</v>
      </c>
      <c r="X91" s="54" t="n">
        <v>0</v>
      </c>
      <c r="Y91" s="54" t="n">
        <v>57</v>
      </c>
      <c r="Z91" s="56" t="n">
        <v>848.73</v>
      </c>
      <c r="AA91" s="57" t="n">
        <v>1.9</v>
      </c>
      <c r="AB91" s="57" t="n">
        <v>36.8</v>
      </c>
      <c r="AC91" s="57" t="n">
        <v>131.6</v>
      </c>
      <c r="AD91" s="54" t="n">
        <v>0</v>
      </c>
      <c r="AE91" s="54" t="n">
        <v>0</v>
      </c>
      <c r="AF91" s="54" t="n">
        <v>0</v>
      </c>
      <c r="AG91" s="54" t="n">
        <v>0</v>
      </c>
      <c r="AH91" s="57" t="n">
        <v>36.8</v>
      </c>
      <c r="AI91" s="30" t="inlineStr">
        <is>
          <t>9 - EXCESSO DE ESTOQUE (&gt; MAXIMO)</t>
        </is>
      </c>
      <c r="AJ91" s="39" t="inlineStr">
        <is>
          <t>M - Centralizado via CD</t>
        </is>
      </c>
      <c r="AK91" s="30" t="inlineStr">
        <is>
          <t>Excesso de Estoque</t>
        </is>
      </c>
    </row>
    <row r="92" ht="20" customHeight="1">
      <c r="A92" s="45" t="n">
        <v>4</v>
      </c>
      <c r="B92" s="45" t="n">
        <v>2028</v>
      </c>
      <c r="C92" s="46" t="inlineStr">
        <is>
          <t>CAFE VACUO MELITTA 250G TRAD</t>
        </is>
      </c>
      <c r="D92" s="46" t="inlineStr">
        <is>
          <t>MERCEARIA</t>
        </is>
      </c>
      <c r="E92" s="46" t="inlineStr">
        <is>
          <t>MERCEARIA SECA</t>
        </is>
      </c>
      <c r="F92" s="46" t="inlineStr">
        <is>
          <t>WERTER</t>
        </is>
      </c>
      <c r="G92" s="46" t="inlineStr">
        <is>
          <t>10368 - MELITTA DO BRASIL E COMERCIO LTDA.</t>
        </is>
      </c>
      <c r="H92" s="47" t="inlineStr">
        <is>
          <t>M</t>
        </is>
      </c>
      <c r="I92" s="45" t="n">
        <v>20</v>
      </c>
      <c r="J92" s="45" t="n">
        <v>20</v>
      </c>
      <c r="K92" s="48" t="n">
        <v>99</v>
      </c>
      <c r="L92" s="48" t="n">
        <v>99</v>
      </c>
      <c r="M92" s="48" t="n">
        <v>0</v>
      </c>
      <c r="N92" s="48" t="n">
        <v>38</v>
      </c>
      <c r="O92" s="48" t="n">
        <v>58</v>
      </c>
      <c r="P92" s="48" t="n">
        <v>0</v>
      </c>
      <c r="Q92" s="48" t="n">
        <v>0</v>
      </c>
      <c r="R92" s="45" t="n">
        <v>0</v>
      </c>
      <c r="S92" s="49" t="n">
        <v>38</v>
      </c>
      <c r="T92" s="49" t="n">
        <v>58</v>
      </c>
      <c r="U92" s="48" t="n">
        <v>1880</v>
      </c>
      <c r="V92" s="48" t="n">
        <v>1880</v>
      </c>
      <c r="W92" s="48" t="n">
        <v>0</v>
      </c>
      <c r="X92" s="48" t="n">
        <v>0</v>
      </c>
      <c r="Y92" s="48" t="n">
        <v>214</v>
      </c>
      <c r="Z92" s="50" t="n">
        <v>3186.46</v>
      </c>
      <c r="AA92" s="51" t="n">
        <v>7.13</v>
      </c>
      <c r="AB92" s="51" t="n">
        <v>13.9</v>
      </c>
      <c r="AC92" s="51" t="n">
        <v>277.6</v>
      </c>
      <c r="AD92" s="48" t="n">
        <v>0</v>
      </c>
      <c r="AE92" s="48" t="n">
        <v>0</v>
      </c>
      <c r="AF92" s="48" t="n">
        <v>0</v>
      </c>
      <c r="AG92" s="48" t="n">
        <v>0</v>
      </c>
      <c r="AH92" s="51" t="n">
        <v>13.9</v>
      </c>
      <c r="AI92" s="30" t="inlineStr">
        <is>
          <t>9 - EXCESSO DE ESTOQUE (&gt; MAXIMO)</t>
        </is>
      </c>
      <c r="AJ92" s="39" t="inlineStr">
        <is>
          <t>M - Centralizado via CD</t>
        </is>
      </c>
      <c r="AK92" s="30" t="inlineStr">
        <is>
          <t>Excesso de Estoque</t>
        </is>
      </c>
    </row>
    <row r="93" ht="20" customHeight="1">
      <c r="A93" s="52" t="n">
        <v>4</v>
      </c>
      <c r="B93" s="52" t="n">
        <v>2018</v>
      </c>
      <c r="C93" s="53" t="inlineStr">
        <is>
          <t>CAFE VACUO MELITTA 500G TRAD</t>
        </is>
      </c>
      <c r="D93" s="53" t="inlineStr">
        <is>
          <t>MERCEARIA</t>
        </is>
      </c>
      <c r="E93" s="53" t="inlineStr">
        <is>
          <t>MERCEARIA SECA</t>
        </is>
      </c>
      <c r="F93" s="53" t="inlineStr">
        <is>
          <t>WERTER</t>
        </is>
      </c>
      <c r="G93" s="53" t="inlineStr">
        <is>
          <t>10368 - MELITTA DO BRASIL E COMERCIO LTDA.</t>
        </is>
      </c>
      <c r="H93" s="47" t="inlineStr">
        <is>
          <t>M</t>
        </is>
      </c>
      <c r="I93" s="52" t="n">
        <v>20</v>
      </c>
      <c r="J93" s="52" t="n">
        <v>20</v>
      </c>
      <c r="K93" s="54" t="n">
        <v>66</v>
      </c>
      <c r="L93" s="54" t="n">
        <v>66</v>
      </c>
      <c r="M93" s="54" t="n">
        <v>0</v>
      </c>
      <c r="N93" s="54" t="n">
        <v>36</v>
      </c>
      <c r="O93" s="54" t="n">
        <v>56</v>
      </c>
      <c r="P93" s="54" t="n">
        <v>0</v>
      </c>
      <c r="Q93" s="54" t="n">
        <v>0</v>
      </c>
      <c r="R93" s="52" t="n">
        <v>0</v>
      </c>
      <c r="S93" s="55" t="n">
        <v>36</v>
      </c>
      <c r="T93" s="55" t="n">
        <v>56</v>
      </c>
      <c r="U93" s="54" t="n">
        <v>1684</v>
      </c>
      <c r="V93" s="54" t="n">
        <v>1684</v>
      </c>
      <c r="W93" s="54" t="n">
        <v>0</v>
      </c>
      <c r="X93" s="54" t="n">
        <v>0</v>
      </c>
      <c r="Y93" s="54" t="n">
        <v>249</v>
      </c>
      <c r="Z93" s="56" t="n">
        <v>6737.91</v>
      </c>
      <c r="AA93" s="57" t="n">
        <v>8.300000000000001</v>
      </c>
      <c r="AB93" s="57" t="n">
        <v>8</v>
      </c>
      <c r="AC93" s="57" t="n">
        <v>210.8</v>
      </c>
      <c r="AD93" s="54" t="n">
        <v>0</v>
      </c>
      <c r="AE93" s="54" t="n">
        <v>0</v>
      </c>
      <c r="AF93" s="54" t="n">
        <v>0</v>
      </c>
      <c r="AG93" s="54" t="n">
        <v>0</v>
      </c>
      <c r="AH93" s="57" t="n">
        <v>8</v>
      </c>
      <c r="AI93" s="30" t="inlineStr">
        <is>
          <t>9 - EXCESSO DE ESTOQUE (&gt; MAXIMO)</t>
        </is>
      </c>
      <c r="AJ93" s="39" t="inlineStr">
        <is>
          <t>M - Centralizado via CD</t>
        </is>
      </c>
      <c r="AK93" s="30" t="inlineStr">
        <is>
          <t>Excesso de Estoque</t>
        </is>
      </c>
    </row>
    <row r="94" ht="20" customHeight="1">
      <c r="A94" s="45" t="n">
        <v>5</v>
      </c>
      <c r="B94" s="45" t="n">
        <v>899</v>
      </c>
      <c r="C94" s="46" t="inlineStr">
        <is>
          <t>REFRIG FANTA UVA LT 350ML</t>
        </is>
      </c>
      <c r="D94" s="46" t="inlineStr">
        <is>
          <t>BEBIDAS</t>
        </is>
      </c>
      <c r="E94" s="46" t="inlineStr">
        <is>
          <t>BEBIDA</t>
        </is>
      </c>
      <c r="F94" s="46" t="inlineStr">
        <is>
          <t>NICOLAS</t>
        </is>
      </c>
      <c r="G94" s="46" t="inlineStr">
        <is>
          <t>15441 - SPAL IND BRAS BEBIDAS AS</t>
        </is>
      </c>
      <c r="H94" s="47" t="inlineStr">
        <is>
          <t>M</t>
        </is>
      </c>
      <c r="I94" s="45" t="n">
        <v>6</v>
      </c>
      <c r="J94" s="45" t="n">
        <v>6</v>
      </c>
      <c r="K94" s="48" t="n">
        <v>71</v>
      </c>
      <c r="L94" s="48" t="n">
        <v>71</v>
      </c>
      <c r="M94" s="48" t="n">
        <v>0</v>
      </c>
      <c r="N94" s="48" t="n">
        <v>32</v>
      </c>
      <c r="O94" s="48" t="n">
        <v>50</v>
      </c>
      <c r="P94" s="48" t="n">
        <v>0</v>
      </c>
      <c r="Q94" s="48" t="n">
        <v>0</v>
      </c>
      <c r="R94" s="45" t="n">
        <v>0</v>
      </c>
      <c r="S94" s="49" t="n">
        <v>32</v>
      </c>
      <c r="T94" s="49" t="n">
        <v>50</v>
      </c>
      <c r="U94" s="48" t="n">
        <v>74</v>
      </c>
      <c r="V94" s="48" t="n">
        <v>74</v>
      </c>
      <c r="W94" s="48" t="n">
        <v>0</v>
      </c>
      <c r="X94" s="48" t="n">
        <v>0</v>
      </c>
      <c r="Y94" s="48" t="n">
        <v>114</v>
      </c>
      <c r="Z94" s="50" t="n">
        <v>382.36</v>
      </c>
      <c r="AA94" s="51" t="n">
        <v>3.8</v>
      </c>
      <c r="AB94" s="51" t="n">
        <v>18.7</v>
      </c>
      <c r="AC94" s="51" t="n">
        <v>38.2</v>
      </c>
      <c r="AD94" s="48" t="n">
        <v>0</v>
      </c>
      <c r="AE94" s="48" t="n">
        <v>0</v>
      </c>
      <c r="AF94" s="48" t="n">
        <v>30</v>
      </c>
      <c r="AG94" s="48" t="n">
        <v>30</v>
      </c>
      <c r="AH94" s="51" t="n">
        <v>26.6</v>
      </c>
      <c r="AI94" s="30" t="inlineStr">
        <is>
          <t>9 - EXCESSO DE ESTOQUE (&gt; MAXIMO)</t>
        </is>
      </c>
      <c r="AJ94" s="39" t="inlineStr">
        <is>
          <t>M - Centralizado via CD</t>
        </is>
      </c>
      <c r="AK94" s="30" t="inlineStr">
        <is>
          <t>Excesso de Estoque</t>
        </is>
      </c>
    </row>
    <row r="95" ht="20" customHeight="1">
      <c r="A95" s="52" t="n">
        <v>5</v>
      </c>
      <c r="B95" s="52" t="n">
        <v>2047</v>
      </c>
      <c r="C95" s="53" t="inlineStr">
        <is>
          <t>CAFE SOL IGUACU LT LV200G PG190G TRAD</t>
        </is>
      </c>
      <c r="D95" s="53" t="inlineStr">
        <is>
          <t>MERCEARIA</t>
        </is>
      </c>
      <c r="E95" s="53" t="inlineStr">
        <is>
          <t>MERCEARIA SECA</t>
        </is>
      </c>
      <c r="F95" s="53" t="inlineStr">
        <is>
          <t>WERTER</t>
        </is>
      </c>
      <c r="G95" s="53" t="inlineStr">
        <is>
          <t>8702 - CAFE TRES CORACOES S.A</t>
        </is>
      </c>
      <c r="H95" s="47" t="inlineStr">
        <is>
          <t>M</t>
        </is>
      </c>
      <c r="I95" s="52" t="n">
        <v>12</v>
      </c>
      <c r="J95" s="52" t="n">
        <v>12</v>
      </c>
      <c r="K95" s="54" t="n">
        <v>58</v>
      </c>
      <c r="L95" s="54" t="n">
        <v>58</v>
      </c>
      <c r="M95" s="54" t="n">
        <v>0</v>
      </c>
      <c r="N95" s="54" t="n">
        <v>18</v>
      </c>
      <c r="O95" s="54" t="n">
        <v>30</v>
      </c>
      <c r="P95" s="54" t="n">
        <v>0</v>
      </c>
      <c r="Q95" s="54" t="n">
        <v>0</v>
      </c>
      <c r="R95" s="52" t="n">
        <v>0</v>
      </c>
      <c r="S95" s="55" t="n">
        <v>18</v>
      </c>
      <c r="T95" s="55" t="n">
        <v>30</v>
      </c>
      <c r="U95" s="54" t="n">
        <v>3168</v>
      </c>
      <c r="V95" s="54" t="n">
        <v>3168</v>
      </c>
      <c r="W95" s="54" t="n">
        <v>0</v>
      </c>
      <c r="X95" s="54" t="n">
        <v>0</v>
      </c>
      <c r="Y95" s="54" t="n">
        <v>32</v>
      </c>
      <c r="Z95" s="56" t="n">
        <v>847.6799999999999</v>
      </c>
      <c r="AA95" s="57" t="n">
        <v>1.07</v>
      </c>
      <c r="AB95" s="57" t="n">
        <v>54.2</v>
      </c>
      <c r="AC95" s="57" t="n">
        <v>3015</v>
      </c>
      <c r="AD95" s="54" t="n">
        <v>0</v>
      </c>
      <c r="AE95" s="54" t="n">
        <v>0</v>
      </c>
      <c r="AF95" s="54" t="n">
        <v>0</v>
      </c>
      <c r="AG95" s="54" t="n">
        <v>0</v>
      </c>
      <c r="AH95" s="57" t="n">
        <v>54.2</v>
      </c>
      <c r="AI95" s="30" t="inlineStr">
        <is>
          <t>9 - EXCESSO DE ESTOQUE (&gt; MAXIMO)</t>
        </is>
      </c>
      <c r="AJ95" s="39" t="inlineStr">
        <is>
          <t>M - Centralizado via CD</t>
        </is>
      </c>
      <c r="AK95" s="30" t="inlineStr">
        <is>
          <t>Excesso de Estoque</t>
        </is>
      </c>
    </row>
    <row r="96" ht="20" customHeight="1">
      <c r="A96" s="45" t="n">
        <v>5</v>
      </c>
      <c r="B96" s="45" t="n">
        <v>2027</v>
      </c>
      <c r="C96" s="46" t="inlineStr">
        <is>
          <t>CAFE VACUO MELITTA 250G EXTRA FORTE</t>
        </is>
      </c>
      <c r="D96" s="46" t="inlineStr">
        <is>
          <t>MERCEARIA</t>
        </is>
      </c>
      <c r="E96" s="46" t="inlineStr">
        <is>
          <t>MERCEARIA SECA</t>
        </is>
      </c>
      <c r="F96" s="46" t="inlineStr">
        <is>
          <t>WERTER</t>
        </is>
      </c>
      <c r="G96" s="46" t="inlineStr">
        <is>
          <t>10368 - MELITTA DO BRASIL E COMERCIO LTDA.</t>
        </is>
      </c>
      <c r="H96" s="47" t="inlineStr">
        <is>
          <t>M</t>
        </is>
      </c>
      <c r="I96" s="45" t="n">
        <v>20</v>
      </c>
      <c r="J96" s="45" t="n">
        <v>20</v>
      </c>
      <c r="K96" s="48" t="n">
        <v>67</v>
      </c>
      <c r="L96" s="48" t="n">
        <v>67</v>
      </c>
      <c r="M96" s="48" t="n">
        <v>0</v>
      </c>
      <c r="N96" s="48" t="n">
        <v>12</v>
      </c>
      <c r="O96" s="48" t="n">
        <v>32</v>
      </c>
      <c r="P96" s="48" t="n">
        <v>0</v>
      </c>
      <c r="Q96" s="48" t="n">
        <v>0</v>
      </c>
      <c r="R96" s="45" t="n">
        <v>0</v>
      </c>
      <c r="S96" s="49" t="n">
        <v>12</v>
      </c>
      <c r="T96" s="49" t="n">
        <v>32</v>
      </c>
      <c r="U96" s="48" t="n">
        <v>180</v>
      </c>
      <c r="V96" s="48" t="n">
        <v>180</v>
      </c>
      <c r="W96" s="48" t="n">
        <v>0</v>
      </c>
      <c r="X96" s="48" t="n">
        <v>0</v>
      </c>
      <c r="Y96" s="48" t="n">
        <v>85</v>
      </c>
      <c r="Z96" s="50" t="n">
        <v>1265.65</v>
      </c>
      <c r="AA96" s="51" t="n">
        <v>2.83</v>
      </c>
      <c r="AB96" s="51" t="n">
        <v>23.7</v>
      </c>
      <c r="AC96" s="51" t="n">
        <v>87.3</v>
      </c>
      <c r="AD96" s="48" t="n">
        <v>0</v>
      </c>
      <c r="AE96" s="48" t="n">
        <v>0</v>
      </c>
      <c r="AF96" s="48" t="n">
        <v>0</v>
      </c>
      <c r="AG96" s="48" t="n">
        <v>0</v>
      </c>
      <c r="AH96" s="51" t="n">
        <v>23.7</v>
      </c>
      <c r="AI96" s="30" t="inlineStr">
        <is>
          <t>9 - EXCESSO DE ESTOQUE (&gt; MAXIMO)</t>
        </is>
      </c>
      <c r="AJ96" s="39" t="inlineStr">
        <is>
          <t>M - Centralizado via CD</t>
        </is>
      </c>
      <c r="AK96" s="30" t="inlineStr">
        <is>
          <t>Excesso de Estoque</t>
        </is>
      </c>
    </row>
    <row r="97" ht="20" customHeight="1">
      <c r="A97" s="52" t="n">
        <v>5</v>
      </c>
      <c r="B97" s="52" t="n">
        <v>2028</v>
      </c>
      <c r="C97" s="53" t="inlineStr">
        <is>
          <t>CAFE VACUO MELITTA 250G TRAD</t>
        </is>
      </c>
      <c r="D97" s="53" t="inlineStr">
        <is>
          <t>MERCEARIA</t>
        </is>
      </c>
      <c r="E97" s="53" t="inlineStr">
        <is>
          <t>MERCEARIA SECA</t>
        </is>
      </c>
      <c r="F97" s="53" t="inlineStr">
        <is>
          <t>WERTER</t>
        </is>
      </c>
      <c r="G97" s="53" t="inlineStr">
        <is>
          <t>10368 - MELITTA DO BRASIL E COMERCIO LTDA.</t>
        </is>
      </c>
      <c r="H97" s="47" t="inlineStr">
        <is>
          <t>M</t>
        </is>
      </c>
      <c r="I97" s="52" t="n">
        <v>20</v>
      </c>
      <c r="J97" s="52" t="n">
        <v>20</v>
      </c>
      <c r="K97" s="54" t="n">
        <v>83</v>
      </c>
      <c r="L97" s="54" t="n">
        <v>83</v>
      </c>
      <c r="M97" s="54" t="n">
        <v>0</v>
      </c>
      <c r="N97" s="54" t="n">
        <v>20</v>
      </c>
      <c r="O97" s="54" t="n">
        <v>40</v>
      </c>
      <c r="P97" s="54" t="n">
        <v>0</v>
      </c>
      <c r="Q97" s="54" t="n">
        <v>0</v>
      </c>
      <c r="R97" s="52" t="n">
        <v>0</v>
      </c>
      <c r="S97" s="55" t="n">
        <v>20</v>
      </c>
      <c r="T97" s="55" t="n">
        <v>40</v>
      </c>
      <c r="U97" s="54" t="n">
        <v>1880</v>
      </c>
      <c r="V97" s="54" t="n">
        <v>1880</v>
      </c>
      <c r="W97" s="54" t="n">
        <v>0</v>
      </c>
      <c r="X97" s="54" t="n">
        <v>0</v>
      </c>
      <c r="Y97" s="54" t="n">
        <v>47</v>
      </c>
      <c r="Z97" s="56" t="n">
        <v>699.83</v>
      </c>
      <c r="AA97" s="57" t="n">
        <v>1.57</v>
      </c>
      <c r="AB97" s="57" t="n">
        <v>52.9</v>
      </c>
      <c r="AC97" s="57" t="n">
        <v>1250.3</v>
      </c>
      <c r="AD97" s="54" t="n">
        <v>0</v>
      </c>
      <c r="AE97" s="54" t="n">
        <v>0</v>
      </c>
      <c r="AF97" s="54" t="n">
        <v>0</v>
      </c>
      <c r="AG97" s="54" t="n">
        <v>0</v>
      </c>
      <c r="AH97" s="57" t="n">
        <v>52.9</v>
      </c>
      <c r="AI97" s="30" t="inlineStr">
        <is>
          <t>9 - EXCESSO DE ESTOQUE (&gt; MAXIMO)</t>
        </is>
      </c>
      <c r="AJ97" s="39" t="inlineStr">
        <is>
          <t>M - Centralizado via CD</t>
        </is>
      </c>
      <c r="AK97" s="30" t="inlineStr">
        <is>
          <t>Excesso de Estoque</t>
        </is>
      </c>
    </row>
    <row r="98" ht="20" customHeight="1">
      <c r="A98" s="45" t="n">
        <v>5</v>
      </c>
      <c r="B98" s="45" t="n">
        <v>2020</v>
      </c>
      <c r="C98" s="46" t="inlineStr">
        <is>
          <t>CAFE VACUO MELITTA 500G EXTRA FORTE</t>
        </is>
      </c>
      <c r="D98" s="46" t="inlineStr">
        <is>
          <t>MERCEARIA</t>
        </is>
      </c>
      <c r="E98" s="46" t="inlineStr">
        <is>
          <t>MERCEARIA SECA</t>
        </is>
      </c>
      <c r="F98" s="46" t="inlineStr">
        <is>
          <t>WERTER</t>
        </is>
      </c>
      <c r="G98" s="46" t="inlineStr">
        <is>
          <t>10368 - MELITTA DO BRASIL E COMERCIO LTDA.</t>
        </is>
      </c>
      <c r="H98" s="47" t="inlineStr">
        <is>
          <t>M</t>
        </is>
      </c>
      <c r="I98" s="45" t="n">
        <v>20</v>
      </c>
      <c r="J98" s="45" t="n">
        <v>20</v>
      </c>
      <c r="K98" s="48" t="n">
        <v>48</v>
      </c>
      <c r="L98" s="48" t="n">
        <v>48</v>
      </c>
      <c r="M98" s="48" t="n">
        <v>0</v>
      </c>
      <c r="N98" s="48" t="n">
        <v>22</v>
      </c>
      <c r="O98" s="48" t="n">
        <v>42</v>
      </c>
      <c r="P98" s="48" t="n">
        <v>0</v>
      </c>
      <c r="Q98" s="48" t="n">
        <v>0</v>
      </c>
      <c r="R98" s="45" t="n">
        <v>0</v>
      </c>
      <c r="S98" s="49" t="n">
        <v>22</v>
      </c>
      <c r="T98" s="49" t="n">
        <v>42</v>
      </c>
      <c r="U98" s="48" t="n">
        <v>401</v>
      </c>
      <c r="V98" s="48" t="n">
        <v>400</v>
      </c>
      <c r="W98" s="48" t="n">
        <v>0</v>
      </c>
      <c r="X98" s="48" t="n">
        <v>1</v>
      </c>
      <c r="Y98" s="48" t="n">
        <v>8</v>
      </c>
      <c r="Z98" s="50" t="n">
        <v>215.84</v>
      </c>
      <c r="AA98" s="51" t="n">
        <v>0.27</v>
      </c>
      <c r="AB98" s="51" t="n">
        <v>177.8</v>
      </c>
      <c r="AC98" s="51" t="n">
        <v>1663</v>
      </c>
      <c r="AD98" s="48" t="n">
        <v>0</v>
      </c>
      <c r="AE98" s="48" t="n">
        <v>0</v>
      </c>
      <c r="AF98" s="48" t="n">
        <v>0</v>
      </c>
      <c r="AG98" s="48" t="n">
        <v>0</v>
      </c>
      <c r="AH98" s="51" t="n">
        <v>177.8</v>
      </c>
      <c r="AI98" s="30" t="inlineStr">
        <is>
          <t>9 - EXCESSO DE ESTOQUE (&gt; MAXIMO)</t>
        </is>
      </c>
      <c r="AJ98" s="39" t="inlineStr">
        <is>
          <t>M - Centralizado via CD</t>
        </is>
      </c>
      <c r="AK98" s="30" t="inlineStr">
        <is>
          <t>Excesso de Estoque</t>
        </is>
      </c>
    </row>
    <row r="99" ht="20" customHeight="1">
      <c r="A99" s="52" t="n">
        <v>5</v>
      </c>
      <c r="B99" s="52" t="n">
        <v>2018</v>
      </c>
      <c r="C99" s="53" t="inlineStr">
        <is>
          <t>CAFE VACUO MELITTA 500G TRAD</t>
        </is>
      </c>
      <c r="D99" s="53" t="inlineStr">
        <is>
          <t>MERCEARIA</t>
        </is>
      </c>
      <c r="E99" s="53" t="inlineStr">
        <is>
          <t>MERCEARIA SECA</t>
        </is>
      </c>
      <c r="F99" s="53" t="inlineStr">
        <is>
          <t>WERTER</t>
        </is>
      </c>
      <c r="G99" s="53" t="inlineStr">
        <is>
          <t>10368 - MELITTA DO BRASIL E COMERCIO LTDA.</t>
        </is>
      </c>
      <c r="H99" s="47" t="inlineStr">
        <is>
          <t>M</t>
        </is>
      </c>
      <c r="I99" s="52" t="n">
        <v>20</v>
      </c>
      <c r="J99" s="52" t="n">
        <v>20</v>
      </c>
      <c r="K99" s="54" t="n">
        <v>76</v>
      </c>
      <c r="L99" s="54" t="n">
        <v>76</v>
      </c>
      <c r="M99" s="54" t="n">
        <v>0</v>
      </c>
      <c r="N99" s="54" t="n">
        <v>50</v>
      </c>
      <c r="O99" s="54" t="n">
        <v>70</v>
      </c>
      <c r="P99" s="54" t="n">
        <v>0</v>
      </c>
      <c r="Q99" s="54" t="n">
        <v>0</v>
      </c>
      <c r="R99" s="52" t="n">
        <v>0</v>
      </c>
      <c r="S99" s="55" t="n">
        <v>50</v>
      </c>
      <c r="T99" s="55" t="n">
        <v>70</v>
      </c>
      <c r="U99" s="54" t="n">
        <v>1684</v>
      </c>
      <c r="V99" s="54" t="n">
        <v>1684</v>
      </c>
      <c r="W99" s="54" t="n">
        <v>0</v>
      </c>
      <c r="X99" s="54" t="n">
        <v>0</v>
      </c>
      <c r="Y99" s="54" t="n">
        <v>97</v>
      </c>
      <c r="Z99" s="56" t="n">
        <v>2631.85</v>
      </c>
      <c r="AA99" s="57" t="n">
        <v>3.23</v>
      </c>
      <c r="AB99" s="57" t="n">
        <v>23.5</v>
      </c>
      <c r="AC99" s="57" t="n">
        <v>544.9</v>
      </c>
      <c r="AD99" s="54" t="n">
        <v>0</v>
      </c>
      <c r="AE99" s="54" t="n">
        <v>0</v>
      </c>
      <c r="AF99" s="54" t="n">
        <v>0</v>
      </c>
      <c r="AG99" s="54" t="n">
        <v>0</v>
      </c>
      <c r="AH99" s="57" t="n">
        <v>23.5</v>
      </c>
      <c r="AI99" s="30" t="inlineStr">
        <is>
          <t>9 - EXCESSO DE ESTOQUE (&gt; MAXIMO)</t>
        </is>
      </c>
      <c r="AJ99" s="39" t="inlineStr">
        <is>
          <t>M - Centralizado via CD</t>
        </is>
      </c>
      <c r="AK99" s="30" t="inlineStr">
        <is>
          <t>Excesso de Estoque</t>
        </is>
      </c>
    </row>
    <row r="100" ht="20" customHeight="1">
      <c r="A100" s="45" t="n">
        <v>5</v>
      </c>
      <c r="B100" s="45" t="n">
        <v>19312</v>
      </c>
      <c r="C100" s="46" t="inlineStr">
        <is>
          <t>COT HASTES FLEX COTTONBABY C 75</t>
        </is>
      </c>
      <c r="D100" s="46" t="inlineStr">
        <is>
          <t>PERFUMARIA E LIMPEZA</t>
        </is>
      </c>
      <c r="E100" s="46" t="inlineStr">
        <is>
          <t>PERFUMARIA</t>
        </is>
      </c>
      <c r="F100" s="46" t="inlineStr">
        <is>
          <t>BATISTA</t>
        </is>
      </c>
      <c r="G100" s="46" t="inlineStr">
        <is>
          <t>6567 - HIGIE-PLUS INDUSTRIA E COM.LTDA</t>
        </is>
      </c>
      <c r="H100" s="47" t="inlineStr">
        <is>
          <t>M</t>
        </is>
      </c>
      <c r="I100" s="45" t="n">
        <v>72</v>
      </c>
      <c r="J100" s="45" t="n">
        <v>72</v>
      </c>
      <c r="K100" s="48" t="n">
        <v>132</v>
      </c>
      <c r="L100" s="48" t="n">
        <v>132</v>
      </c>
      <c r="M100" s="48" t="n">
        <v>0</v>
      </c>
      <c r="N100" s="48" t="n">
        <v>44</v>
      </c>
      <c r="O100" s="48" t="n">
        <v>116</v>
      </c>
      <c r="P100" s="48" t="n">
        <v>0</v>
      </c>
      <c r="Q100" s="48" t="n">
        <v>0</v>
      </c>
      <c r="R100" s="45" t="n">
        <v>0</v>
      </c>
      <c r="S100" s="49" t="n">
        <v>44</v>
      </c>
      <c r="T100" s="49" t="n">
        <v>116</v>
      </c>
      <c r="U100" s="48" t="n">
        <v>792</v>
      </c>
      <c r="V100" s="48" t="n">
        <v>792</v>
      </c>
      <c r="W100" s="48" t="n">
        <v>0</v>
      </c>
      <c r="X100" s="48" t="n">
        <v>0</v>
      </c>
      <c r="Y100" s="48" t="n">
        <v>12</v>
      </c>
      <c r="Z100" s="50" t="n">
        <v>47.68</v>
      </c>
      <c r="AA100" s="51" t="n">
        <v>0.4</v>
      </c>
      <c r="AB100" s="51" t="n">
        <v>330</v>
      </c>
      <c r="AC100" s="51" t="n">
        <v>2310</v>
      </c>
      <c r="AD100" s="48" t="n">
        <v>0</v>
      </c>
      <c r="AE100" s="48" t="n">
        <v>0</v>
      </c>
      <c r="AF100" s="48" t="n">
        <v>0</v>
      </c>
      <c r="AG100" s="48" t="n">
        <v>0</v>
      </c>
      <c r="AH100" s="51" t="n">
        <v>330</v>
      </c>
      <c r="AI100" s="30" t="inlineStr">
        <is>
          <t>9 - EXCESSO DE ESTOQUE (&gt; MAXIMO)</t>
        </is>
      </c>
      <c r="AJ100" s="39" t="inlineStr">
        <is>
          <t>M - Centralizado via CD</t>
        </is>
      </c>
      <c r="AK100" s="30" t="inlineStr">
        <is>
          <t>Excesso de Estoque</t>
        </is>
      </c>
    </row>
    <row r="101" ht="20" customHeight="1">
      <c r="A101" s="52" t="n">
        <v>5</v>
      </c>
      <c r="B101" s="52" t="n">
        <v>17315</v>
      </c>
      <c r="C101" s="53" t="inlineStr">
        <is>
          <t>DESOD ROLLON REXONA 50ML V8</t>
        </is>
      </c>
      <c r="D101" s="53" t="inlineStr">
        <is>
          <t>PERFUMARIA E LIMPEZA</t>
        </is>
      </c>
      <c r="E101" s="53" t="inlineStr">
        <is>
          <t>PERFUMARIA</t>
        </is>
      </c>
      <c r="F101" s="53" t="inlineStr">
        <is>
          <t>BATISTA</t>
        </is>
      </c>
      <c r="G101" s="53" t="inlineStr">
        <is>
          <t>5894 - UNIDASUL DISTRIBUIDORA ALIMENTICIA S/A</t>
        </is>
      </c>
      <c r="H101" s="47" t="inlineStr">
        <is>
          <t>M</t>
        </is>
      </c>
      <c r="I101" s="52" t="n">
        <v>12</v>
      </c>
      <c r="J101" s="52" t="n">
        <v>12</v>
      </c>
      <c r="K101" s="54" t="n">
        <v>41</v>
      </c>
      <c r="L101" s="54" t="n">
        <v>41</v>
      </c>
      <c r="M101" s="54" t="n">
        <v>0</v>
      </c>
      <c r="N101" s="54" t="n">
        <v>22</v>
      </c>
      <c r="O101" s="54" t="n">
        <v>34</v>
      </c>
      <c r="P101" s="54" t="n">
        <v>0</v>
      </c>
      <c r="Q101" s="54" t="n">
        <v>0</v>
      </c>
      <c r="R101" s="52" t="n">
        <v>0</v>
      </c>
      <c r="S101" s="55" t="n">
        <v>22</v>
      </c>
      <c r="T101" s="55" t="n">
        <v>34</v>
      </c>
      <c r="U101" s="54" t="n">
        <v>1032</v>
      </c>
      <c r="V101" s="54" t="n">
        <v>1032</v>
      </c>
      <c r="W101" s="54" t="n">
        <v>0</v>
      </c>
      <c r="X101" s="54" t="n">
        <v>0</v>
      </c>
      <c r="Y101" s="54" t="n">
        <v>15</v>
      </c>
      <c r="Z101" s="56" t="n">
        <v>148.85</v>
      </c>
      <c r="AA101" s="57" t="n">
        <v>0.5</v>
      </c>
      <c r="AB101" s="57" t="n">
        <v>82</v>
      </c>
      <c r="AC101" s="57" t="n">
        <v>2146</v>
      </c>
      <c r="AD101" s="54" t="n">
        <v>0</v>
      </c>
      <c r="AE101" s="54" t="n">
        <v>0</v>
      </c>
      <c r="AF101" s="54" t="n">
        <v>0</v>
      </c>
      <c r="AG101" s="54" t="n">
        <v>0</v>
      </c>
      <c r="AH101" s="57" t="n">
        <v>82</v>
      </c>
      <c r="AI101" s="30" t="inlineStr">
        <is>
          <t>9 - EXCESSO DE ESTOQUE (&gt; MAXIMO)</t>
        </is>
      </c>
      <c r="AJ101" s="39" t="inlineStr">
        <is>
          <t>M - Centralizado via CD</t>
        </is>
      </c>
      <c r="AK101" s="30" t="inlineStr">
        <is>
          <t>Excesso de Estoque</t>
        </is>
      </c>
    </row>
    <row r="102" ht="20" customHeight="1">
      <c r="A102" s="45" t="n">
        <v>6</v>
      </c>
      <c r="B102" s="45" t="n">
        <v>812</v>
      </c>
      <c r="C102" s="46" t="inlineStr">
        <is>
          <t>REFRIG FANTA UVA PET 2L</t>
        </is>
      </c>
      <c r="D102" s="46" t="inlineStr">
        <is>
          <t>BEBIDAS</t>
        </is>
      </c>
      <c r="E102" s="46" t="inlineStr">
        <is>
          <t>BEBIDA</t>
        </is>
      </c>
      <c r="F102" s="46" t="inlineStr">
        <is>
          <t>NICOLAS</t>
        </is>
      </c>
      <c r="G102" s="46" t="inlineStr">
        <is>
          <t>15441 - SPAL IND BRAS BEBIDAS AS</t>
        </is>
      </c>
      <c r="H102" s="47" t="inlineStr">
        <is>
          <t>M</t>
        </is>
      </c>
      <c r="I102" s="45" t="n">
        <v>8</v>
      </c>
      <c r="J102" s="45" t="n">
        <v>8</v>
      </c>
      <c r="K102" s="48" t="n">
        <v>155</v>
      </c>
      <c r="L102" s="48" t="n">
        <v>155</v>
      </c>
      <c r="M102" s="48" t="n">
        <v>0</v>
      </c>
      <c r="N102" s="48" t="n">
        <v>78</v>
      </c>
      <c r="O102" s="48" t="n">
        <v>126</v>
      </c>
      <c r="P102" s="48" t="n">
        <v>0</v>
      </c>
      <c r="Q102" s="48" t="n">
        <v>0</v>
      </c>
      <c r="R102" s="45" t="n">
        <v>0</v>
      </c>
      <c r="S102" s="49" t="n">
        <v>78</v>
      </c>
      <c r="T102" s="49" t="n">
        <v>126</v>
      </c>
      <c r="U102" s="48" t="n">
        <v>336</v>
      </c>
      <c r="V102" s="48" t="n">
        <v>336</v>
      </c>
      <c r="W102" s="48" t="n">
        <v>0</v>
      </c>
      <c r="X102" s="48" t="n">
        <v>0</v>
      </c>
      <c r="Y102" s="48" t="n">
        <v>232</v>
      </c>
      <c r="Z102" s="50" t="n">
        <v>2039.28</v>
      </c>
      <c r="AA102" s="51" t="n">
        <v>7.73</v>
      </c>
      <c r="AB102" s="51" t="n">
        <v>20.1</v>
      </c>
      <c r="AC102" s="51" t="n">
        <v>63.5</v>
      </c>
      <c r="AD102" s="48" t="n">
        <v>0</v>
      </c>
      <c r="AE102" s="48" t="n">
        <v>0</v>
      </c>
      <c r="AF102" s="48" t="n">
        <v>0</v>
      </c>
      <c r="AG102" s="48" t="n">
        <v>0</v>
      </c>
      <c r="AH102" s="51" t="n">
        <v>20.1</v>
      </c>
      <c r="AI102" s="30" t="inlineStr">
        <is>
          <t>9 - EXCESSO DE ESTOQUE (&gt; MAXIMO)</t>
        </is>
      </c>
      <c r="AJ102" s="39" t="inlineStr">
        <is>
          <t>M - Centralizado via CD</t>
        </is>
      </c>
      <c r="AK102" s="30" t="inlineStr">
        <is>
          <t>Excesso de Estoque</t>
        </is>
      </c>
    </row>
    <row r="103" ht="20" customHeight="1">
      <c r="A103" s="52" t="n">
        <v>6</v>
      </c>
      <c r="B103" s="52" t="n">
        <v>2047</v>
      </c>
      <c r="C103" s="53" t="inlineStr">
        <is>
          <t>CAFE SOL IGUACU LT LV200G PG190G TRAD</t>
        </is>
      </c>
      <c r="D103" s="53" t="inlineStr">
        <is>
          <t>MERCEARIA</t>
        </is>
      </c>
      <c r="E103" s="53" t="inlineStr">
        <is>
          <t>MERCEARIA SECA</t>
        </is>
      </c>
      <c r="F103" s="53" t="inlineStr">
        <is>
          <t>WERTER</t>
        </is>
      </c>
      <c r="G103" s="53" t="inlineStr">
        <is>
          <t>8702 - CAFE TRES CORACOES S.A</t>
        </is>
      </c>
      <c r="H103" s="47" t="inlineStr">
        <is>
          <t>M</t>
        </is>
      </c>
      <c r="I103" s="52" t="n">
        <v>12</v>
      </c>
      <c r="J103" s="52" t="n">
        <v>12</v>
      </c>
      <c r="K103" s="54" t="n">
        <v>105</v>
      </c>
      <c r="L103" s="54" t="n">
        <v>105</v>
      </c>
      <c r="M103" s="54" t="n">
        <v>0</v>
      </c>
      <c r="N103" s="54" t="n">
        <v>54</v>
      </c>
      <c r="O103" s="54" t="n">
        <v>90</v>
      </c>
      <c r="P103" s="54" t="n">
        <v>0</v>
      </c>
      <c r="Q103" s="54" t="n">
        <v>0</v>
      </c>
      <c r="R103" s="52" t="n">
        <v>0</v>
      </c>
      <c r="S103" s="55" t="n">
        <v>54</v>
      </c>
      <c r="T103" s="55" t="n">
        <v>90</v>
      </c>
      <c r="U103" s="54" t="n">
        <v>3168</v>
      </c>
      <c r="V103" s="54" t="n">
        <v>3168</v>
      </c>
      <c r="W103" s="54" t="n">
        <v>0</v>
      </c>
      <c r="X103" s="54" t="n">
        <v>0</v>
      </c>
      <c r="Y103" s="54" t="n">
        <v>83</v>
      </c>
      <c r="Z103" s="56" t="n">
        <v>2198.67</v>
      </c>
      <c r="AA103" s="57" t="n">
        <v>2.77</v>
      </c>
      <c r="AB103" s="57" t="n">
        <v>37.9</v>
      </c>
      <c r="AC103" s="57" t="n">
        <v>1181.6</v>
      </c>
      <c r="AD103" s="54" t="n">
        <v>0</v>
      </c>
      <c r="AE103" s="54" t="n">
        <v>0</v>
      </c>
      <c r="AF103" s="54" t="n">
        <v>0</v>
      </c>
      <c r="AG103" s="54" t="n">
        <v>0</v>
      </c>
      <c r="AH103" s="57" t="n">
        <v>37.9</v>
      </c>
      <c r="AI103" s="30" t="inlineStr">
        <is>
          <t>9 - EXCESSO DE ESTOQUE (&gt; MAXIMO)</t>
        </is>
      </c>
      <c r="AJ103" s="39" t="inlineStr">
        <is>
          <t>M - Centralizado via CD</t>
        </is>
      </c>
      <c r="AK103" s="30" t="inlineStr">
        <is>
          <t>Excesso de Estoque</t>
        </is>
      </c>
    </row>
    <row r="104" ht="20" customHeight="1">
      <c r="A104" s="45" t="n">
        <v>6</v>
      </c>
      <c r="B104" s="45" t="n">
        <v>2027</v>
      </c>
      <c r="C104" s="46" t="inlineStr">
        <is>
          <t>CAFE VACUO MELITTA 250G EXTRA FORTE</t>
        </is>
      </c>
      <c r="D104" s="46" t="inlineStr">
        <is>
          <t>MERCEARIA</t>
        </is>
      </c>
      <c r="E104" s="46" t="inlineStr">
        <is>
          <t>MERCEARIA SECA</t>
        </is>
      </c>
      <c r="F104" s="46" t="inlineStr">
        <is>
          <t>WERTER</t>
        </is>
      </c>
      <c r="G104" s="46" t="inlineStr">
        <is>
          <t>10368 - MELITTA DO BRASIL E COMERCIO LTDA.</t>
        </is>
      </c>
      <c r="H104" s="47" t="inlineStr">
        <is>
          <t>M</t>
        </is>
      </c>
      <c r="I104" s="45" t="n">
        <v>20</v>
      </c>
      <c r="J104" s="45" t="n">
        <v>20</v>
      </c>
      <c r="K104" s="48" t="n">
        <v>69</v>
      </c>
      <c r="L104" s="48" t="n">
        <v>69</v>
      </c>
      <c r="M104" s="48" t="n">
        <v>0</v>
      </c>
      <c r="N104" s="48" t="n">
        <v>14</v>
      </c>
      <c r="O104" s="48" t="n">
        <v>34</v>
      </c>
      <c r="P104" s="48" t="n">
        <v>0</v>
      </c>
      <c r="Q104" s="48" t="n">
        <v>0</v>
      </c>
      <c r="R104" s="45" t="n">
        <v>0</v>
      </c>
      <c r="S104" s="49" t="n">
        <v>14</v>
      </c>
      <c r="T104" s="49" t="n">
        <v>34</v>
      </c>
      <c r="U104" s="48" t="n">
        <v>180</v>
      </c>
      <c r="V104" s="48" t="n">
        <v>180</v>
      </c>
      <c r="W104" s="48" t="n">
        <v>0</v>
      </c>
      <c r="X104" s="48" t="n">
        <v>0</v>
      </c>
      <c r="Y104" s="48" t="n">
        <v>66</v>
      </c>
      <c r="Z104" s="50" t="n">
        <v>982.74</v>
      </c>
      <c r="AA104" s="51" t="n">
        <v>2.2</v>
      </c>
      <c r="AB104" s="51" t="n">
        <v>31.4</v>
      </c>
      <c r="AC104" s="51" t="n">
        <v>113.2</v>
      </c>
      <c r="AD104" s="48" t="n">
        <v>0</v>
      </c>
      <c r="AE104" s="48" t="n">
        <v>0</v>
      </c>
      <c r="AF104" s="48" t="n">
        <v>0</v>
      </c>
      <c r="AG104" s="48" t="n">
        <v>0</v>
      </c>
      <c r="AH104" s="51" t="n">
        <v>31.4</v>
      </c>
      <c r="AI104" s="30" t="inlineStr">
        <is>
          <t>9 - EXCESSO DE ESTOQUE (&gt; MAXIMO)</t>
        </is>
      </c>
      <c r="AJ104" s="39" t="inlineStr">
        <is>
          <t>M - Centralizado via CD</t>
        </is>
      </c>
      <c r="AK104" s="30" t="inlineStr">
        <is>
          <t>Excesso de Estoque</t>
        </is>
      </c>
    </row>
    <row r="105" ht="20" customHeight="1">
      <c r="A105" s="52" t="n">
        <v>6</v>
      </c>
      <c r="B105" s="52" t="n">
        <v>2028</v>
      </c>
      <c r="C105" s="53" t="inlineStr">
        <is>
          <t>CAFE VACUO MELITTA 250G TRAD</t>
        </is>
      </c>
      <c r="D105" s="53" t="inlineStr">
        <is>
          <t>MERCEARIA</t>
        </is>
      </c>
      <c r="E105" s="53" t="inlineStr">
        <is>
          <t>MERCEARIA SECA</t>
        </is>
      </c>
      <c r="F105" s="53" t="inlineStr">
        <is>
          <t>WERTER</t>
        </is>
      </c>
      <c r="G105" s="53" t="inlineStr">
        <is>
          <t>10368 - MELITTA DO BRASIL E COMERCIO LTDA.</t>
        </is>
      </c>
      <c r="H105" s="47" t="inlineStr">
        <is>
          <t>M</t>
        </is>
      </c>
      <c r="I105" s="52" t="n">
        <v>20</v>
      </c>
      <c r="J105" s="52" t="n">
        <v>20</v>
      </c>
      <c r="K105" s="54" t="n">
        <v>138</v>
      </c>
      <c r="L105" s="54" t="n">
        <v>138</v>
      </c>
      <c r="M105" s="54" t="n">
        <v>0</v>
      </c>
      <c r="N105" s="54" t="n">
        <v>36</v>
      </c>
      <c r="O105" s="54" t="n">
        <v>56</v>
      </c>
      <c r="P105" s="54" t="n">
        <v>0</v>
      </c>
      <c r="Q105" s="54" t="n">
        <v>0</v>
      </c>
      <c r="R105" s="52" t="n">
        <v>0</v>
      </c>
      <c r="S105" s="55" t="n">
        <v>36</v>
      </c>
      <c r="T105" s="55" t="n">
        <v>56</v>
      </c>
      <c r="U105" s="54" t="n">
        <v>1880</v>
      </c>
      <c r="V105" s="54" t="n">
        <v>1880</v>
      </c>
      <c r="W105" s="54" t="n">
        <v>0</v>
      </c>
      <c r="X105" s="54" t="n">
        <v>0</v>
      </c>
      <c r="Y105" s="54" t="n">
        <v>100</v>
      </c>
      <c r="Z105" s="56" t="n">
        <v>1489</v>
      </c>
      <c r="AA105" s="57" t="n">
        <v>3.33</v>
      </c>
      <c r="AB105" s="57" t="n">
        <v>41.4</v>
      </c>
      <c r="AC105" s="57" t="n">
        <v>606</v>
      </c>
      <c r="AD105" s="54" t="n">
        <v>0</v>
      </c>
      <c r="AE105" s="54" t="n">
        <v>0</v>
      </c>
      <c r="AF105" s="54" t="n">
        <v>0</v>
      </c>
      <c r="AG105" s="54" t="n">
        <v>0</v>
      </c>
      <c r="AH105" s="57" t="n">
        <v>41.4</v>
      </c>
      <c r="AI105" s="30" t="inlineStr">
        <is>
          <t>9 - EXCESSO DE ESTOQUE (&gt; MAXIMO)</t>
        </is>
      </c>
      <c r="AJ105" s="39" t="inlineStr">
        <is>
          <t>M - Centralizado via CD</t>
        </is>
      </c>
      <c r="AK105" s="30" t="inlineStr">
        <is>
          <t>Excesso de Estoque</t>
        </is>
      </c>
    </row>
    <row r="106" ht="20" customHeight="1">
      <c r="A106" s="45" t="n">
        <v>6</v>
      </c>
      <c r="B106" s="45" t="n">
        <v>2018</v>
      </c>
      <c r="C106" s="46" t="inlineStr">
        <is>
          <t>CAFE VACUO MELITTA 500G TRAD</t>
        </is>
      </c>
      <c r="D106" s="46" t="inlineStr">
        <is>
          <t>MERCEARIA</t>
        </is>
      </c>
      <c r="E106" s="46" t="inlineStr">
        <is>
          <t>MERCEARIA SECA</t>
        </is>
      </c>
      <c r="F106" s="46" t="inlineStr">
        <is>
          <t>WERTER</t>
        </is>
      </c>
      <c r="G106" s="46" t="inlineStr">
        <is>
          <t>10368 - MELITTA DO BRASIL E COMERCIO LTDA.</t>
        </is>
      </c>
      <c r="H106" s="47" t="inlineStr">
        <is>
          <t>M</t>
        </is>
      </c>
      <c r="I106" s="45" t="n">
        <v>20</v>
      </c>
      <c r="J106" s="45" t="n">
        <v>20</v>
      </c>
      <c r="K106" s="48" t="n">
        <v>135</v>
      </c>
      <c r="L106" s="48" t="n">
        <v>135</v>
      </c>
      <c r="M106" s="48" t="n">
        <v>0</v>
      </c>
      <c r="N106" s="48" t="n">
        <v>28</v>
      </c>
      <c r="O106" s="48" t="n">
        <v>48</v>
      </c>
      <c r="P106" s="48" t="n">
        <v>0</v>
      </c>
      <c r="Q106" s="48" t="n">
        <v>0</v>
      </c>
      <c r="R106" s="45" t="n">
        <v>0</v>
      </c>
      <c r="S106" s="49" t="n">
        <v>28</v>
      </c>
      <c r="T106" s="49" t="n">
        <v>48</v>
      </c>
      <c r="U106" s="48" t="n">
        <v>1684</v>
      </c>
      <c r="V106" s="48" t="n">
        <v>1684</v>
      </c>
      <c r="W106" s="48" t="n">
        <v>0</v>
      </c>
      <c r="X106" s="48" t="n">
        <v>0</v>
      </c>
      <c r="Y106" s="48" t="n">
        <v>143</v>
      </c>
      <c r="Z106" s="50" t="n">
        <v>3886.56</v>
      </c>
      <c r="AA106" s="51" t="n">
        <v>4.77</v>
      </c>
      <c r="AB106" s="51" t="n">
        <v>28.3</v>
      </c>
      <c r="AC106" s="51" t="n">
        <v>381.3</v>
      </c>
      <c r="AD106" s="48" t="n">
        <v>0</v>
      </c>
      <c r="AE106" s="48" t="n">
        <v>0</v>
      </c>
      <c r="AF106" s="48" t="n">
        <v>0</v>
      </c>
      <c r="AG106" s="48" t="n">
        <v>0</v>
      </c>
      <c r="AH106" s="51" t="n">
        <v>28.3</v>
      </c>
      <c r="AI106" s="30" t="inlineStr">
        <is>
          <t>9 - EXCESSO DE ESTOQUE (&gt; MAXIMO)</t>
        </is>
      </c>
      <c r="AJ106" s="39" t="inlineStr">
        <is>
          <t>M - Centralizado via CD</t>
        </is>
      </c>
      <c r="AK106" s="30" t="inlineStr">
        <is>
          <t>Excesso de Estoque</t>
        </is>
      </c>
    </row>
    <row r="107" ht="20" customHeight="1">
      <c r="A107" s="52" t="n">
        <v>6</v>
      </c>
      <c r="B107" s="52" t="n">
        <v>17315</v>
      </c>
      <c r="C107" s="53" t="inlineStr">
        <is>
          <t>DESOD ROLLON REXONA 50ML V8</t>
        </is>
      </c>
      <c r="D107" s="53" t="inlineStr">
        <is>
          <t>PERFUMARIA E LIMPEZA</t>
        </is>
      </c>
      <c r="E107" s="53" t="inlineStr">
        <is>
          <t>PERFUMARIA</t>
        </is>
      </c>
      <c r="F107" s="53" t="inlineStr">
        <is>
          <t>BATISTA</t>
        </is>
      </c>
      <c r="G107" s="53" t="inlineStr">
        <is>
          <t>5894 - UNIDASUL DISTRIBUIDORA ALIMENTICIA S/A</t>
        </is>
      </c>
      <c r="H107" s="47" t="inlineStr">
        <is>
          <t>M</t>
        </is>
      </c>
      <c r="I107" s="52" t="n">
        <v>12</v>
      </c>
      <c r="J107" s="52" t="n">
        <v>12</v>
      </c>
      <c r="K107" s="54" t="n">
        <v>38</v>
      </c>
      <c r="L107" s="54" t="n">
        <v>38</v>
      </c>
      <c r="M107" s="54" t="n">
        <v>0</v>
      </c>
      <c r="N107" s="54" t="n">
        <v>22</v>
      </c>
      <c r="O107" s="54" t="n">
        <v>34</v>
      </c>
      <c r="P107" s="54" t="n">
        <v>0</v>
      </c>
      <c r="Q107" s="54" t="n">
        <v>0</v>
      </c>
      <c r="R107" s="52" t="n">
        <v>0</v>
      </c>
      <c r="S107" s="55" t="n">
        <v>22</v>
      </c>
      <c r="T107" s="55" t="n">
        <v>34</v>
      </c>
      <c r="U107" s="54" t="n">
        <v>1032</v>
      </c>
      <c r="V107" s="54" t="n">
        <v>1032</v>
      </c>
      <c r="W107" s="54" t="n">
        <v>0</v>
      </c>
      <c r="X107" s="54" t="n">
        <v>0</v>
      </c>
      <c r="Y107" s="54" t="n">
        <v>4</v>
      </c>
      <c r="Z107" s="56" t="n">
        <v>38.46</v>
      </c>
      <c r="AA107" s="57" t="n">
        <v>0.13</v>
      </c>
      <c r="AB107" s="57" t="n">
        <v>292.3</v>
      </c>
      <c r="AC107" s="57" t="n">
        <v>8230.799999999999</v>
      </c>
      <c r="AD107" s="54" t="n">
        <v>0</v>
      </c>
      <c r="AE107" s="54" t="n">
        <v>0</v>
      </c>
      <c r="AF107" s="54" t="n">
        <v>0</v>
      </c>
      <c r="AG107" s="54" t="n">
        <v>0</v>
      </c>
      <c r="AH107" s="57" t="n">
        <v>292.3</v>
      </c>
      <c r="AI107" s="30" t="inlineStr">
        <is>
          <t>9 - EXCESSO DE ESTOQUE (&gt; MAXIMO)</t>
        </is>
      </c>
      <c r="AJ107" s="39" t="inlineStr">
        <is>
          <t>M - Centralizado via CD</t>
        </is>
      </c>
      <c r="AK107" s="30" t="inlineStr">
        <is>
          <t>Excesso de Estoque</t>
        </is>
      </c>
    </row>
    <row r="108" ht="20" customHeight="1">
      <c r="A108" s="45" t="n">
        <v>7</v>
      </c>
      <c r="B108" s="45" t="n">
        <v>812</v>
      </c>
      <c r="C108" s="46" t="inlineStr">
        <is>
          <t>REFRIG FANTA UVA PET 2L</t>
        </is>
      </c>
      <c r="D108" s="46" t="inlineStr">
        <is>
          <t>BEBIDAS</t>
        </is>
      </c>
      <c r="E108" s="46" t="inlineStr">
        <is>
          <t>BEBIDA</t>
        </is>
      </c>
      <c r="F108" s="46" t="inlineStr">
        <is>
          <t>NICOLAS</t>
        </is>
      </c>
      <c r="G108" s="46" t="inlineStr">
        <is>
          <t>15441 - SPAL IND BRAS BEBIDAS AS</t>
        </is>
      </c>
      <c r="H108" s="47" t="inlineStr">
        <is>
          <t>M</t>
        </is>
      </c>
      <c r="I108" s="45" t="n">
        <v>8</v>
      </c>
      <c r="J108" s="45" t="n">
        <v>8</v>
      </c>
      <c r="K108" s="48" t="n">
        <v>90</v>
      </c>
      <c r="L108" s="48" t="n">
        <v>90</v>
      </c>
      <c r="M108" s="48" t="n">
        <v>0</v>
      </c>
      <c r="N108" s="48" t="n">
        <v>56</v>
      </c>
      <c r="O108" s="48" t="n">
        <v>88</v>
      </c>
      <c r="P108" s="48" t="n">
        <v>0</v>
      </c>
      <c r="Q108" s="48" t="n">
        <v>0</v>
      </c>
      <c r="R108" s="45" t="n">
        <v>0</v>
      </c>
      <c r="S108" s="49" t="n">
        <v>56</v>
      </c>
      <c r="T108" s="49" t="n">
        <v>88</v>
      </c>
      <c r="U108" s="48" t="n">
        <v>336</v>
      </c>
      <c r="V108" s="48" t="n">
        <v>336</v>
      </c>
      <c r="W108" s="48" t="n">
        <v>0</v>
      </c>
      <c r="X108" s="48" t="n">
        <v>0</v>
      </c>
      <c r="Y108" s="48" t="n">
        <v>163</v>
      </c>
      <c r="Z108" s="50" t="n">
        <v>1432.77</v>
      </c>
      <c r="AA108" s="51" t="n">
        <v>5.43</v>
      </c>
      <c r="AB108" s="51" t="n">
        <v>16.6</v>
      </c>
      <c r="AC108" s="51" t="n">
        <v>78.5</v>
      </c>
      <c r="AD108" s="48" t="n">
        <v>0</v>
      </c>
      <c r="AE108" s="48" t="n">
        <v>0</v>
      </c>
      <c r="AF108" s="48" t="n">
        <v>0</v>
      </c>
      <c r="AG108" s="48" t="n">
        <v>0</v>
      </c>
      <c r="AH108" s="51" t="n">
        <v>16.6</v>
      </c>
      <c r="AI108" s="30" t="inlineStr">
        <is>
          <t>9 - EXCESSO DE ESTOQUE (&gt; MAXIMO)</t>
        </is>
      </c>
      <c r="AJ108" s="39" t="inlineStr">
        <is>
          <t>M - Centralizado via CD</t>
        </is>
      </c>
      <c r="AK108" s="30" t="inlineStr">
        <is>
          <t>Excesso de Estoque</t>
        </is>
      </c>
    </row>
    <row r="109" ht="20" customHeight="1">
      <c r="A109" s="52" t="n">
        <v>7</v>
      </c>
      <c r="B109" s="52" t="n">
        <v>2027</v>
      </c>
      <c r="C109" s="53" t="inlineStr">
        <is>
          <t>CAFE VACUO MELITTA 250G EXTRA FORTE</t>
        </is>
      </c>
      <c r="D109" s="53" t="inlineStr">
        <is>
          <t>MERCEARIA</t>
        </is>
      </c>
      <c r="E109" s="53" t="inlineStr">
        <is>
          <t>MERCEARIA SECA</t>
        </is>
      </c>
      <c r="F109" s="53" t="inlineStr">
        <is>
          <t>WERTER</t>
        </is>
      </c>
      <c r="G109" s="53" t="inlineStr">
        <is>
          <t>10368 - MELITTA DO BRASIL E COMERCIO LTDA.</t>
        </is>
      </c>
      <c r="H109" s="47" t="inlineStr">
        <is>
          <t>M</t>
        </is>
      </c>
      <c r="I109" s="52" t="n">
        <v>20</v>
      </c>
      <c r="J109" s="52" t="n">
        <v>20</v>
      </c>
      <c r="K109" s="54" t="n">
        <v>72</v>
      </c>
      <c r="L109" s="54" t="n">
        <v>72</v>
      </c>
      <c r="M109" s="54" t="n">
        <v>0</v>
      </c>
      <c r="N109" s="54" t="n">
        <v>20</v>
      </c>
      <c r="O109" s="54" t="n">
        <v>40</v>
      </c>
      <c r="P109" s="54" t="n">
        <v>0</v>
      </c>
      <c r="Q109" s="54" t="n">
        <v>0</v>
      </c>
      <c r="R109" s="52" t="n">
        <v>0</v>
      </c>
      <c r="S109" s="55" t="n">
        <v>20</v>
      </c>
      <c r="T109" s="55" t="n">
        <v>40</v>
      </c>
      <c r="U109" s="54" t="n">
        <v>180</v>
      </c>
      <c r="V109" s="54" t="n">
        <v>180</v>
      </c>
      <c r="W109" s="54" t="n">
        <v>0</v>
      </c>
      <c r="X109" s="54" t="n">
        <v>0</v>
      </c>
      <c r="Y109" s="54" t="n">
        <v>129</v>
      </c>
      <c r="Z109" s="56" t="n">
        <v>1920.81</v>
      </c>
      <c r="AA109" s="57" t="n">
        <v>4.3</v>
      </c>
      <c r="AB109" s="57" t="n">
        <v>16.7</v>
      </c>
      <c r="AC109" s="57" t="n">
        <v>58.6</v>
      </c>
      <c r="AD109" s="54" t="n">
        <v>0</v>
      </c>
      <c r="AE109" s="54" t="n">
        <v>0</v>
      </c>
      <c r="AF109" s="54" t="n">
        <v>0</v>
      </c>
      <c r="AG109" s="54" t="n">
        <v>0</v>
      </c>
      <c r="AH109" s="57" t="n">
        <v>16.7</v>
      </c>
      <c r="AI109" s="30" t="inlineStr">
        <is>
          <t>9 - EXCESSO DE ESTOQUE (&gt; MAXIMO)</t>
        </is>
      </c>
      <c r="AJ109" s="39" t="inlineStr">
        <is>
          <t>M - Centralizado via CD</t>
        </is>
      </c>
      <c r="AK109" s="30" t="inlineStr">
        <is>
          <t>Excesso de Estoque</t>
        </is>
      </c>
    </row>
    <row r="110" ht="20" customHeight="1">
      <c r="A110" s="45" t="n">
        <v>7</v>
      </c>
      <c r="B110" s="45" t="n">
        <v>2028</v>
      </c>
      <c r="C110" s="46" t="inlineStr">
        <is>
          <t>CAFE VACUO MELITTA 250G TRAD</t>
        </is>
      </c>
      <c r="D110" s="46" t="inlineStr">
        <is>
          <t>MERCEARIA</t>
        </is>
      </c>
      <c r="E110" s="46" t="inlineStr">
        <is>
          <t>MERCEARIA SECA</t>
        </is>
      </c>
      <c r="F110" s="46" t="inlineStr">
        <is>
          <t>WERTER</t>
        </is>
      </c>
      <c r="G110" s="46" t="inlineStr">
        <is>
          <t>10368 - MELITTA DO BRASIL E COMERCIO LTDA.</t>
        </is>
      </c>
      <c r="H110" s="47" t="inlineStr">
        <is>
          <t>M</t>
        </is>
      </c>
      <c r="I110" s="45" t="n">
        <v>20</v>
      </c>
      <c r="J110" s="45" t="n">
        <v>20</v>
      </c>
      <c r="K110" s="48" t="n">
        <v>62</v>
      </c>
      <c r="L110" s="48" t="n">
        <v>62</v>
      </c>
      <c r="M110" s="48" t="n">
        <v>0</v>
      </c>
      <c r="N110" s="48" t="n">
        <v>30</v>
      </c>
      <c r="O110" s="48" t="n">
        <v>50</v>
      </c>
      <c r="P110" s="48" t="n">
        <v>0</v>
      </c>
      <c r="Q110" s="48" t="n">
        <v>0</v>
      </c>
      <c r="R110" s="45" t="n">
        <v>0</v>
      </c>
      <c r="S110" s="49" t="n">
        <v>30</v>
      </c>
      <c r="T110" s="49" t="n">
        <v>50</v>
      </c>
      <c r="U110" s="48" t="n">
        <v>1880</v>
      </c>
      <c r="V110" s="48" t="n">
        <v>1880</v>
      </c>
      <c r="W110" s="48" t="n">
        <v>0</v>
      </c>
      <c r="X110" s="48" t="n">
        <v>0</v>
      </c>
      <c r="Y110" s="48" t="n">
        <v>0</v>
      </c>
      <c r="Z110" s="50" t="n">
        <v>0</v>
      </c>
      <c r="AA110" s="51" t="n">
        <v>0</v>
      </c>
      <c r="AB110" s="51" t="n">
        <v>999</v>
      </c>
      <c r="AC110" s="51" t="n">
        <v>999</v>
      </c>
      <c r="AD110" s="48" t="n">
        <v>0</v>
      </c>
      <c r="AE110" s="48" t="n">
        <v>0</v>
      </c>
      <c r="AF110" s="48" t="n">
        <v>0</v>
      </c>
      <c r="AG110" s="48" t="n">
        <v>0</v>
      </c>
      <c r="AH110" s="51" t="n">
        <v>999</v>
      </c>
      <c r="AI110" s="30" t="inlineStr">
        <is>
          <t>9 - EXCESSO DE ESTOQUE (&gt; MAXIMO)</t>
        </is>
      </c>
      <c r="AJ110" s="39" t="inlineStr">
        <is>
          <t>M - Centralizado via CD</t>
        </is>
      </c>
      <c r="AK110" s="30" t="inlineStr">
        <is>
          <t>Excesso de Estoque</t>
        </is>
      </c>
    </row>
    <row r="111" ht="20" customHeight="1">
      <c r="A111" s="52" t="n">
        <v>7</v>
      </c>
      <c r="B111" s="52" t="n">
        <v>2018</v>
      </c>
      <c r="C111" s="53" t="inlineStr">
        <is>
          <t>CAFE VACUO MELITTA 500G TRAD</t>
        </is>
      </c>
      <c r="D111" s="53" t="inlineStr">
        <is>
          <t>MERCEARIA</t>
        </is>
      </c>
      <c r="E111" s="53" t="inlineStr">
        <is>
          <t>MERCEARIA SECA</t>
        </is>
      </c>
      <c r="F111" s="53" t="inlineStr">
        <is>
          <t>WERTER</t>
        </is>
      </c>
      <c r="G111" s="53" t="inlineStr">
        <is>
          <t>10368 - MELITTA DO BRASIL E COMERCIO LTDA.</t>
        </is>
      </c>
      <c r="H111" s="47" t="inlineStr">
        <is>
          <t>M</t>
        </is>
      </c>
      <c r="I111" s="52" t="n">
        <v>20</v>
      </c>
      <c r="J111" s="52" t="n">
        <v>20</v>
      </c>
      <c r="K111" s="54" t="n">
        <v>98</v>
      </c>
      <c r="L111" s="54" t="n">
        <v>98</v>
      </c>
      <c r="M111" s="54" t="n">
        <v>0</v>
      </c>
      <c r="N111" s="54" t="n">
        <v>50</v>
      </c>
      <c r="O111" s="54" t="n">
        <v>70</v>
      </c>
      <c r="P111" s="54" t="n">
        <v>0</v>
      </c>
      <c r="Q111" s="54" t="n">
        <v>0</v>
      </c>
      <c r="R111" s="52" t="n">
        <v>0</v>
      </c>
      <c r="S111" s="55" t="n">
        <v>50</v>
      </c>
      <c r="T111" s="55" t="n">
        <v>70</v>
      </c>
      <c r="U111" s="54" t="n">
        <v>1684</v>
      </c>
      <c r="V111" s="54" t="n">
        <v>1684</v>
      </c>
      <c r="W111" s="54" t="n">
        <v>0</v>
      </c>
      <c r="X111" s="54" t="n">
        <v>0</v>
      </c>
      <c r="Y111" s="54" t="n">
        <v>80</v>
      </c>
      <c r="Z111" s="56" t="n">
        <v>2178.17</v>
      </c>
      <c r="AA111" s="57" t="n">
        <v>2.67</v>
      </c>
      <c r="AB111" s="57" t="n">
        <v>36.7</v>
      </c>
      <c r="AC111" s="57" t="n">
        <v>667.4</v>
      </c>
      <c r="AD111" s="54" t="n">
        <v>0</v>
      </c>
      <c r="AE111" s="54" t="n">
        <v>0</v>
      </c>
      <c r="AF111" s="54" t="n">
        <v>0</v>
      </c>
      <c r="AG111" s="54" t="n">
        <v>0</v>
      </c>
      <c r="AH111" s="57" t="n">
        <v>36.7</v>
      </c>
      <c r="AI111" s="30" t="inlineStr">
        <is>
          <t>9 - EXCESSO DE ESTOQUE (&gt; MAXIMO)</t>
        </is>
      </c>
      <c r="AJ111" s="39" t="inlineStr">
        <is>
          <t>M - Centralizado via CD</t>
        </is>
      </c>
      <c r="AK111" s="30" t="inlineStr">
        <is>
          <t>Excesso de Estoque</t>
        </is>
      </c>
    </row>
    <row r="112" ht="20" customHeight="1">
      <c r="A112" s="45" t="n">
        <v>8</v>
      </c>
      <c r="B112" s="45" t="n">
        <v>899</v>
      </c>
      <c r="C112" s="46" t="inlineStr">
        <is>
          <t>REFRIG FANTA UVA LT 350ML</t>
        </is>
      </c>
      <c r="D112" s="46" t="inlineStr">
        <is>
          <t>BEBIDAS</t>
        </is>
      </c>
      <c r="E112" s="46" t="inlineStr">
        <is>
          <t>BEBIDA</t>
        </is>
      </c>
      <c r="F112" s="46" t="inlineStr">
        <is>
          <t>NICOLAS</t>
        </is>
      </c>
      <c r="G112" s="46" t="inlineStr">
        <is>
          <t>15441 - SPAL IND BRAS BEBIDAS AS</t>
        </is>
      </c>
      <c r="H112" s="47" t="inlineStr">
        <is>
          <t>M</t>
        </is>
      </c>
      <c r="I112" s="45" t="n">
        <v>6</v>
      </c>
      <c r="J112" s="45" t="n">
        <v>6</v>
      </c>
      <c r="K112" s="48" t="n">
        <v>111</v>
      </c>
      <c r="L112" s="48" t="n">
        <v>111</v>
      </c>
      <c r="M112" s="48" t="n">
        <v>0</v>
      </c>
      <c r="N112" s="48" t="n">
        <v>62</v>
      </c>
      <c r="O112" s="48" t="n">
        <v>98</v>
      </c>
      <c r="P112" s="48" t="n">
        <v>0</v>
      </c>
      <c r="Q112" s="48" t="n">
        <v>0</v>
      </c>
      <c r="R112" s="45" t="n">
        <v>0</v>
      </c>
      <c r="S112" s="49" t="n">
        <v>62</v>
      </c>
      <c r="T112" s="49" t="n">
        <v>98</v>
      </c>
      <c r="U112" s="48" t="n">
        <v>74</v>
      </c>
      <c r="V112" s="48" t="n">
        <v>74</v>
      </c>
      <c r="W112" s="48" t="n">
        <v>0</v>
      </c>
      <c r="X112" s="48" t="n">
        <v>0</v>
      </c>
      <c r="Y112" s="48" t="n">
        <v>185</v>
      </c>
      <c r="Z112" s="50" t="n">
        <v>633.65</v>
      </c>
      <c r="AA112" s="51" t="n">
        <v>6.17</v>
      </c>
      <c r="AB112" s="51" t="n">
        <v>18</v>
      </c>
      <c r="AC112" s="51" t="n">
        <v>30</v>
      </c>
      <c r="AD112" s="48" t="n">
        <v>0</v>
      </c>
      <c r="AE112" s="48" t="n">
        <v>0</v>
      </c>
      <c r="AF112" s="48" t="n">
        <v>0</v>
      </c>
      <c r="AG112" s="48" t="n">
        <v>0</v>
      </c>
      <c r="AH112" s="51" t="n">
        <v>18</v>
      </c>
      <c r="AI112" s="30" t="inlineStr">
        <is>
          <t>9 - EXCESSO DE ESTOQUE (&gt; MAXIMO)</t>
        </is>
      </c>
      <c r="AJ112" s="39" t="inlineStr">
        <is>
          <t>M - Centralizado via CD</t>
        </is>
      </c>
      <c r="AK112" s="30" t="inlineStr">
        <is>
          <t>Excesso de Estoque</t>
        </is>
      </c>
    </row>
    <row r="113" ht="20" customHeight="1">
      <c r="A113" s="52" t="n">
        <v>8</v>
      </c>
      <c r="B113" s="52" t="n">
        <v>812</v>
      </c>
      <c r="C113" s="53" t="inlineStr">
        <is>
          <t>REFRIG FANTA UVA PET 2L</t>
        </is>
      </c>
      <c r="D113" s="53" t="inlineStr">
        <is>
          <t>BEBIDAS</t>
        </is>
      </c>
      <c r="E113" s="53" t="inlineStr">
        <is>
          <t>BEBIDA</t>
        </is>
      </c>
      <c r="F113" s="53" t="inlineStr">
        <is>
          <t>NICOLAS</t>
        </is>
      </c>
      <c r="G113" s="53" t="inlineStr">
        <is>
          <t>15441 - SPAL IND BRAS BEBIDAS AS</t>
        </is>
      </c>
      <c r="H113" s="47" t="inlineStr">
        <is>
          <t>M</t>
        </is>
      </c>
      <c r="I113" s="52" t="n">
        <v>8</v>
      </c>
      <c r="J113" s="52" t="n">
        <v>8</v>
      </c>
      <c r="K113" s="54" t="n">
        <v>53</v>
      </c>
      <c r="L113" s="54" t="n">
        <v>53</v>
      </c>
      <c r="M113" s="54" t="n">
        <v>0</v>
      </c>
      <c r="N113" s="54" t="n">
        <v>28</v>
      </c>
      <c r="O113" s="54" t="n">
        <v>44</v>
      </c>
      <c r="P113" s="54" t="n">
        <v>0</v>
      </c>
      <c r="Q113" s="54" t="n">
        <v>0</v>
      </c>
      <c r="R113" s="52" t="n">
        <v>0</v>
      </c>
      <c r="S113" s="55" t="n">
        <v>28</v>
      </c>
      <c r="T113" s="55" t="n">
        <v>44</v>
      </c>
      <c r="U113" s="54" t="n">
        <v>336</v>
      </c>
      <c r="V113" s="54" t="n">
        <v>336</v>
      </c>
      <c r="W113" s="54" t="n">
        <v>0</v>
      </c>
      <c r="X113" s="54" t="n">
        <v>0</v>
      </c>
      <c r="Y113" s="54" t="n">
        <v>118</v>
      </c>
      <c r="Z113" s="56" t="n">
        <v>1037.22</v>
      </c>
      <c r="AA113" s="57" t="n">
        <v>3.93</v>
      </c>
      <c r="AB113" s="57" t="n">
        <v>13.5</v>
      </c>
      <c r="AC113" s="57" t="n">
        <v>99</v>
      </c>
      <c r="AD113" s="54" t="n">
        <v>0</v>
      </c>
      <c r="AE113" s="54" t="n">
        <v>0</v>
      </c>
      <c r="AF113" s="54" t="n">
        <v>0</v>
      </c>
      <c r="AG113" s="54" t="n">
        <v>0</v>
      </c>
      <c r="AH113" s="57" t="n">
        <v>13.5</v>
      </c>
      <c r="AI113" s="30" t="inlineStr">
        <is>
          <t>9 - EXCESSO DE ESTOQUE (&gt; MAXIMO)</t>
        </is>
      </c>
      <c r="AJ113" s="39" t="inlineStr">
        <is>
          <t>M - Centralizado via CD</t>
        </is>
      </c>
      <c r="AK113" s="30" t="inlineStr">
        <is>
          <t>Excesso de Estoque</t>
        </is>
      </c>
    </row>
    <row r="114" ht="20" customHeight="1">
      <c r="A114" s="45" t="n">
        <v>8</v>
      </c>
      <c r="B114" s="45" t="n">
        <v>2047</v>
      </c>
      <c r="C114" s="46" t="inlineStr">
        <is>
          <t>CAFE SOL IGUACU LT LV200G PG190G TRAD</t>
        </is>
      </c>
      <c r="D114" s="46" t="inlineStr">
        <is>
          <t>MERCEARIA</t>
        </is>
      </c>
      <c r="E114" s="46" t="inlineStr">
        <is>
          <t>MERCEARIA SECA</t>
        </is>
      </c>
      <c r="F114" s="46" t="inlineStr">
        <is>
          <t>WERTER</t>
        </is>
      </c>
      <c r="G114" s="46" t="inlineStr">
        <is>
          <t>8702 - CAFE TRES CORACOES S.A</t>
        </is>
      </c>
      <c r="H114" s="47" t="inlineStr">
        <is>
          <t>M</t>
        </is>
      </c>
      <c r="I114" s="45" t="n">
        <v>12</v>
      </c>
      <c r="J114" s="45" t="n">
        <v>12</v>
      </c>
      <c r="K114" s="48" t="n">
        <v>63</v>
      </c>
      <c r="L114" s="48" t="n">
        <v>63</v>
      </c>
      <c r="M114" s="48" t="n">
        <v>0</v>
      </c>
      <c r="N114" s="48" t="n">
        <v>36</v>
      </c>
      <c r="O114" s="48" t="n">
        <v>60</v>
      </c>
      <c r="P114" s="48" t="n">
        <v>0</v>
      </c>
      <c r="Q114" s="48" t="n">
        <v>0</v>
      </c>
      <c r="R114" s="45" t="n">
        <v>0</v>
      </c>
      <c r="S114" s="49" t="n">
        <v>36</v>
      </c>
      <c r="T114" s="49" t="n">
        <v>60</v>
      </c>
      <c r="U114" s="48" t="n">
        <v>3168</v>
      </c>
      <c r="V114" s="48" t="n">
        <v>3168</v>
      </c>
      <c r="W114" s="48" t="n">
        <v>0</v>
      </c>
      <c r="X114" s="48" t="n">
        <v>0</v>
      </c>
      <c r="Y114" s="48" t="n">
        <v>20</v>
      </c>
      <c r="Z114" s="50" t="n">
        <v>529.8</v>
      </c>
      <c r="AA114" s="51" t="n">
        <v>0.67</v>
      </c>
      <c r="AB114" s="51" t="n">
        <v>94</v>
      </c>
      <c r="AC114" s="51" t="n">
        <v>4822.4</v>
      </c>
      <c r="AD114" s="48" t="n">
        <v>0</v>
      </c>
      <c r="AE114" s="48" t="n">
        <v>0</v>
      </c>
      <c r="AF114" s="48" t="n">
        <v>0</v>
      </c>
      <c r="AG114" s="48" t="n">
        <v>0</v>
      </c>
      <c r="AH114" s="51" t="n">
        <v>94</v>
      </c>
      <c r="AI114" s="30" t="inlineStr">
        <is>
          <t>9 - EXCESSO DE ESTOQUE (&gt; MAXIMO)</t>
        </is>
      </c>
      <c r="AJ114" s="39" t="inlineStr">
        <is>
          <t>M - Centralizado via CD</t>
        </is>
      </c>
      <c r="AK114" s="30" t="inlineStr">
        <is>
          <t>Excesso de Estoque</t>
        </is>
      </c>
    </row>
    <row r="115" ht="20" customHeight="1">
      <c r="A115" s="52" t="n">
        <v>8</v>
      </c>
      <c r="B115" s="52" t="n">
        <v>2027</v>
      </c>
      <c r="C115" s="53" t="inlineStr">
        <is>
          <t>CAFE VACUO MELITTA 250G EXTRA FORTE</t>
        </is>
      </c>
      <c r="D115" s="53" t="inlineStr">
        <is>
          <t>MERCEARIA</t>
        </is>
      </c>
      <c r="E115" s="53" t="inlineStr">
        <is>
          <t>MERCEARIA SECA</t>
        </is>
      </c>
      <c r="F115" s="53" t="inlineStr">
        <is>
          <t>WERTER</t>
        </is>
      </c>
      <c r="G115" s="53" t="inlineStr">
        <is>
          <t>10368 - MELITTA DO BRASIL E COMERCIO LTDA.</t>
        </is>
      </c>
      <c r="H115" s="47" t="inlineStr">
        <is>
          <t>M</t>
        </is>
      </c>
      <c r="I115" s="52" t="n">
        <v>20</v>
      </c>
      <c r="J115" s="52" t="n">
        <v>20</v>
      </c>
      <c r="K115" s="54" t="n">
        <v>97</v>
      </c>
      <c r="L115" s="54" t="n">
        <v>97</v>
      </c>
      <c r="M115" s="54" t="n">
        <v>0</v>
      </c>
      <c r="N115" s="54" t="n">
        <v>12</v>
      </c>
      <c r="O115" s="54" t="n">
        <v>32</v>
      </c>
      <c r="P115" s="54" t="n">
        <v>0</v>
      </c>
      <c r="Q115" s="54" t="n">
        <v>0</v>
      </c>
      <c r="R115" s="52" t="n">
        <v>0</v>
      </c>
      <c r="S115" s="55" t="n">
        <v>12</v>
      </c>
      <c r="T115" s="55" t="n">
        <v>32</v>
      </c>
      <c r="U115" s="54" t="n">
        <v>180</v>
      </c>
      <c r="V115" s="54" t="n">
        <v>180</v>
      </c>
      <c r="W115" s="54" t="n">
        <v>0</v>
      </c>
      <c r="X115" s="54" t="n">
        <v>0</v>
      </c>
      <c r="Y115" s="54" t="n">
        <v>21</v>
      </c>
      <c r="Z115" s="56" t="n">
        <v>312.69</v>
      </c>
      <c r="AA115" s="57" t="n">
        <v>0.7</v>
      </c>
      <c r="AB115" s="57" t="n">
        <v>138.6</v>
      </c>
      <c r="AC115" s="57" t="n">
        <v>395.7</v>
      </c>
      <c r="AD115" s="54" t="n">
        <v>0</v>
      </c>
      <c r="AE115" s="54" t="n">
        <v>0</v>
      </c>
      <c r="AF115" s="54" t="n">
        <v>0</v>
      </c>
      <c r="AG115" s="54" t="n">
        <v>0</v>
      </c>
      <c r="AH115" s="57" t="n">
        <v>138.6</v>
      </c>
      <c r="AI115" s="30" t="inlineStr">
        <is>
          <t>9 - EXCESSO DE ESTOQUE (&gt; MAXIMO)</t>
        </is>
      </c>
      <c r="AJ115" s="39" t="inlineStr">
        <is>
          <t>M - Centralizado via CD</t>
        </is>
      </c>
      <c r="AK115" s="30" t="inlineStr">
        <is>
          <t>Excesso de Estoque</t>
        </is>
      </c>
    </row>
    <row r="116" ht="20" customHeight="1">
      <c r="A116" s="45" t="n">
        <v>8</v>
      </c>
      <c r="B116" s="45" t="n">
        <v>2028</v>
      </c>
      <c r="C116" s="46" t="inlineStr">
        <is>
          <t>CAFE VACUO MELITTA 250G TRAD</t>
        </is>
      </c>
      <c r="D116" s="46" t="inlineStr">
        <is>
          <t>MERCEARIA</t>
        </is>
      </c>
      <c r="E116" s="46" t="inlineStr">
        <is>
          <t>MERCEARIA SECA</t>
        </is>
      </c>
      <c r="F116" s="46" t="inlineStr">
        <is>
          <t>WERTER</t>
        </is>
      </c>
      <c r="G116" s="46" t="inlineStr">
        <is>
          <t>10368 - MELITTA DO BRASIL E COMERCIO LTDA.</t>
        </is>
      </c>
      <c r="H116" s="47" t="inlineStr">
        <is>
          <t>M</t>
        </is>
      </c>
      <c r="I116" s="45" t="n">
        <v>20</v>
      </c>
      <c r="J116" s="45" t="n">
        <v>20</v>
      </c>
      <c r="K116" s="48" t="n">
        <v>99</v>
      </c>
      <c r="L116" s="48" t="n">
        <v>99</v>
      </c>
      <c r="M116" s="48" t="n">
        <v>0</v>
      </c>
      <c r="N116" s="48" t="n">
        <v>20</v>
      </c>
      <c r="O116" s="48" t="n">
        <v>40</v>
      </c>
      <c r="P116" s="48" t="n">
        <v>0</v>
      </c>
      <c r="Q116" s="48" t="n">
        <v>0</v>
      </c>
      <c r="R116" s="45" t="n">
        <v>0</v>
      </c>
      <c r="S116" s="49" t="n">
        <v>20</v>
      </c>
      <c r="T116" s="49" t="n">
        <v>40</v>
      </c>
      <c r="U116" s="48" t="n">
        <v>1880</v>
      </c>
      <c r="V116" s="48" t="n">
        <v>1880</v>
      </c>
      <c r="W116" s="48" t="n">
        <v>0</v>
      </c>
      <c r="X116" s="48" t="n">
        <v>0</v>
      </c>
      <c r="Y116" s="48" t="n">
        <v>57</v>
      </c>
      <c r="Z116" s="50" t="n">
        <v>848.73</v>
      </c>
      <c r="AA116" s="51" t="n">
        <v>1.9</v>
      </c>
      <c r="AB116" s="51" t="n">
        <v>52.1</v>
      </c>
      <c r="AC116" s="51" t="n">
        <v>1041.6</v>
      </c>
      <c r="AD116" s="48" t="n">
        <v>0</v>
      </c>
      <c r="AE116" s="48" t="n">
        <v>0</v>
      </c>
      <c r="AF116" s="48" t="n">
        <v>0</v>
      </c>
      <c r="AG116" s="48" t="n">
        <v>0</v>
      </c>
      <c r="AH116" s="51" t="n">
        <v>52.1</v>
      </c>
      <c r="AI116" s="30" t="inlineStr">
        <is>
          <t>9 - EXCESSO DE ESTOQUE (&gt; MAXIMO)</t>
        </is>
      </c>
      <c r="AJ116" s="39" t="inlineStr">
        <is>
          <t>M - Centralizado via CD</t>
        </is>
      </c>
      <c r="AK116" s="30" t="inlineStr">
        <is>
          <t>Excesso de Estoque</t>
        </is>
      </c>
    </row>
    <row r="117" ht="20" customHeight="1">
      <c r="A117" s="52" t="n">
        <v>8</v>
      </c>
      <c r="B117" s="52" t="n">
        <v>2020</v>
      </c>
      <c r="C117" s="53" t="inlineStr">
        <is>
          <t>CAFE VACUO MELITTA 500G EXTRA FORTE</t>
        </is>
      </c>
      <c r="D117" s="53" t="inlineStr">
        <is>
          <t>MERCEARIA</t>
        </is>
      </c>
      <c r="E117" s="53" t="inlineStr">
        <is>
          <t>MERCEARIA SECA</t>
        </is>
      </c>
      <c r="F117" s="53" t="inlineStr">
        <is>
          <t>WERTER</t>
        </is>
      </c>
      <c r="G117" s="53" t="inlineStr">
        <is>
          <t>10368 - MELITTA DO BRASIL E COMERCIO LTDA.</t>
        </is>
      </c>
      <c r="H117" s="47" t="inlineStr">
        <is>
          <t>M</t>
        </is>
      </c>
      <c r="I117" s="52" t="n">
        <v>20</v>
      </c>
      <c r="J117" s="52" t="n">
        <v>20</v>
      </c>
      <c r="K117" s="54" t="n">
        <v>63</v>
      </c>
      <c r="L117" s="54" t="n">
        <v>63</v>
      </c>
      <c r="M117" s="54" t="n">
        <v>0</v>
      </c>
      <c r="N117" s="54" t="n">
        <v>12</v>
      </c>
      <c r="O117" s="54" t="n">
        <v>32</v>
      </c>
      <c r="P117" s="54" t="n">
        <v>0</v>
      </c>
      <c r="Q117" s="54" t="n">
        <v>0</v>
      </c>
      <c r="R117" s="52" t="n">
        <v>0</v>
      </c>
      <c r="S117" s="55" t="n">
        <v>12</v>
      </c>
      <c r="T117" s="55" t="n">
        <v>32</v>
      </c>
      <c r="U117" s="54" t="n">
        <v>401</v>
      </c>
      <c r="V117" s="54" t="n">
        <v>400</v>
      </c>
      <c r="W117" s="54" t="n">
        <v>0</v>
      </c>
      <c r="X117" s="54" t="n">
        <v>1</v>
      </c>
      <c r="Y117" s="54" t="n">
        <v>27</v>
      </c>
      <c r="Z117" s="56" t="n">
        <v>742.54</v>
      </c>
      <c r="AA117" s="57" t="n">
        <v>0.9</v>
      </c>
      <c r="AB117" s="57" t="n">
        <v>70</v>
      </c>
      <c r="AC117" s="57" t="n">
        <v>515.6</v>
      </c>
      <c r="AD117" s="54" t="n">
        <v>0</v>
      </c>
      <c r="AE117" s="54" t="n">
        <v>0</v>
      </c>
      <c r="AF117" s="54" t="n">
        <v>0</v>
      </c>
      <c r="AG117" s="54" t="n">
        <v>0</v>
      </c>
      <c r="AH117" s="57" t="n">
        <v>70</v>
      </c>
      <c r="AI117" s="30" t="inlineStr">
        <is>
          <t>9 - EXCESSO DE ESTOQUE (&gt; MAXIMO)</t>
        </is>
      </c>
      <c r="AJ117" s="39" t="inlineStr">
        <is>
          <t>M - Centralizado via CD</t>
        </is>
      </c>
      <c r="AK117" s="30" t="inlineStr">
        <is>
          <t>Excesso de Estoque</t>
        </is>
      </c>
    </row>
    <row r="118" ht="20" customHeight="1">
      <c r="A118" s="45" t="n">
        <v>8</v>
      </c>
      <c r="B118" s="45" t="n">
        <v>2018</v>
      </c>
      <c r="C118" s="46" t="inlineStr">
        <is>
          <t>CAFE VACUO MELITTA 500G TRAD</t>
        </is>
      </c>
      <c r="D118" s="46" t="inlineStr">
        <is>
          <t>MERCEARIA</t>
        </is>
      </c>
      <c r="E118" s="46" t="inlineStr">
        <is>
          <t>MERCEARIA SECA</t>
        </is>
      </c>
      <c r="F118" s="46" t="inlineStr">
        <is>
          <t>WERTER</t>
        </is>
      </c>
      <c r="G118" s="46" t="inlineStr">
        <is>
          <t>10368 - MELITTA DO BRASIL E COMERCIO LTDA.</t>
        </is>
      </c>
      <c r="H118" s="47" t="inlineStr">
        <is>
          <t>M</t>
        </is>
      </c>
      <c r="I118" s="45" t="n">
        <v>20</v>
      </c>
      <c r="J118" s="45" t="n">
        <v>20</v>
      </c>
      <c r="K118" s="48" t="n">
        <v>91</v>
      </c>
      <c r="L118" s="48" t="n">
        <v>91</v>
      </c>
      <c r="M118" s="48" t="n">
        <v>0</v>
      </c>
      <c r="N118" s="48" t="n">
        <v>50</v>
      </c>
      <c r="O118" s="48" t="n">
        <v>70</v>
      </c>
      <c r="P118" s="48" t="n">
        <v>0</v>
      </c>
      <c r="Q118" s="48" t="n">
        <v>0</v>
      </c>
      <c r="R118" s="45" t="n">
        <v>0</v>
      </c>
      <c r="S118" s="49" t="n">
        <v>50</v>
      </c>
      <c r="T118" s="49" t="n">
        <v>70</v>
      </c>
      <c r="U118" s="48" t="n">
        <v>1684</v>
      </c>
      <c r="V118" s="48" t="n">
        <v>1684</v>
      </c>
      <c r="W118" s="48" t="n">
        <v>0</v>
      </c>
      <c r="X118" s="48" t="n">
        <v>0</v>
      </c>
      <c r="Y118" s="48" t="n">
        <v>60</v>
      </c>
      <c r="Z118" s="50" t="n">
        <v>1616.27</v>
      </c>
      <c r="AA118" s="51" t="n">
        <v>2</v>
      </c>
      <c r="AB118" s="51" t="n">
        <v>45.5</v>
      </c>
      <c r="AC118" s="51" t="n">
        <v>887.5</v>
      </c>
      <c r="AD118" s="48" t="n">
        <v>0</v>
      </c>
      <c r="AE118" s="48" t="n">
        <v>0</v>
      </c>
      <c r="AF118" s="48" t="n">
        <v>0</v>
      </c>
      <c r="AG118" s="48" t="n">
        <v>0</v>
      </c>
      <c r="AH118" s="51" t="n">
        <v>45.5</v>
      </c>
      <c r="AI118" s="30" t="inlineStr">
        <is>
          <t>9 - EXCESSO DE ESTOQUE (&gt; MAXIMO)</t>
        </is>
      </c>
      <c r="AJ118" s="39" t="inlineStr">
        <is>
          <t>M - Centralizado via CD</t>
        </is>
      </c>
      <c r="AK118" s="30" t="inlineStr">
        <is>
          <t>Excesso de Estoque</t>
        </is>
      </c>
    </row>
    <row r="119" ht="20" customHeight="1">
      <c r="A119" s="58" t="n">
        <v>8</v>
      </c>
      <c r="B119" s="58" t="n">
        <v>2799</v>
      </c>
      <c r="C119" s="59" t="inlineStr">
        <is>
          <t>FAROFA MANDIOCA YOKI 400G TRADICIONAL</t>
        </is>
      </c>
      <c r="D119" s="59" t="inlineStr">
        <is>
          <t>MERCEARIA</t>
        </is>
      </c>
      <c r="E119" s="59" t="inlineStr">
        <is>
          <t>MERCEARIA SECA</t>
        </is>
      </c>
      <c r="F119" s="59" t="inlineStr">
        <is>
          <t>NIDAL</t>
        </is>
      </c>
      <c r="G119" s="59" t="inlineStr">
        <is>
          <t>3527 - FABIANO ZAFFALON E CIA LTDA</t>
        </is>
      </c>
      <c r="H119" s="47" t="inlineStr">
        <is>
          <t>M</t>
        </is>
      </c>
      <c r="I119" s="58" t="n">
        <v>24</v>
      </c>
      <c r="J119" s="58" t="n">
        <v>24</v>
      </c>
      <c r="K119" s="60" t="n">
        <v>475</v>
      </c>
      <c r="L119" s="60" t="n">
        <v>475</v>
      </c>
      <c r="M119" s="60" t="n">
        <v>0</v>
      </c>
      <c r="N119" s="60" t="n">
        <v>36</v>
      </c>
      <c r="O119" s="60" t="n">
        <v>60</v>
      </c>
      <c r="P119" s="60" t="n">
        <v>120</v>
      </c>
      <c r="Q119" s="60" t="n">
        <v>240</v>
      </c>
      <c r="R119" s="58" t="n">
        <v>1</v>
      </c>
      <c r="S119" s="61" t="n">
        <v>156</v>
      </c>
      <c r="T119" s="61" t="n">
        <v>300</v>
      </c>
      <c r="U119" s="60" t="n">
        <v>576</v>
      </c>
      <c r="V119" s="60" t="n">
        <v>576</v>
      </c>
      <c r="W119" s="60" t="n">
        <v>0</v>
      </c>
      <c r="X119" s="60" t="n">
        <v>0</v>
      </c>
      <c r="Y119" s="60" t="n">
        <v>57</v>
      </c>
      <c r="Z119" s="62" t="n">
        <v>460.33</v>
      </c>
      <c r="AA119" s="63" t="n">
        <v>1.9</v>
      </c>
      <c r="AB119" s="63" t="n">
        <v>250</v>
      </c>
      <c r="AC119" s="63" t="n">
        <v>553.2</v>
      </c>
      <c r="AD119" s="60" t="n">
        <v>0</v>
      </c>
      <c r="AE119" s="60" t="n">
        <v>0</v>
      </c>
      <c r="AF119" s="60" t="n">
        <v>0</v>
      </c>
      <c r="AG119" s="60" t="n">
        <v>0</v>
      </c>
      <c r="AH119" s="63" t="n">
        <v>250</v>
      </c>
      <c r="AI119" s="30" t="inlineStr">
        <is>
          <t>9 - EXCESSO DE ESTOQUE (&gt; MAXIMO)</t>
        </is>
      </c>
      <c r="AJ119" s="39" t="inlineStr">
        <is>
          <t>M - Centralizado via CD</t>
        </is>
      </c>
      <c r="AK119" s="30" t="inlineStr">
        <is>
          <t>Excesso de Estoque</t>
        </is>
      </c>
    </row>
    <row r="120" ht="20" customHeight="1">
      <c r="A120" s="45" t="n">
        <v>8</v>
      </c>
      <c r="B120" s="45" t="n">
        <v>17315</v>
      </c>
      <c r="C120" s="46" t="inlineStr">
        <is>
          <t>DESOD ROLLON REXONA 50ML V8</t>
        </is>
      </c>
      <c r="D120" s="46" t="inlineStr">
        <is>
          <t>PERFUMARIA E LIMPEZA</t>
        </is>
      </c>
      <c r="E120" s="46" t="inlineStr">
        <is>
          <t>PERFUMARIA</t>
        </is>
      </c>
      <c r="F120" s="46" t="inlineStr">
        <is>
          <t>BATISTA</t>
        </is>
      </c>
      <c r="G120" s="46" t="inlineStr">
        <is>
          <t>5894 - UNIDASUL DISTRIBUIDORA ALIMENTICIA S/A</t>
        </is>
      </c>
      <c r="H120" s="47" t="inlineStr">
        <is>
          <t>M</t>
        </is>
      </c>
      <c r="I120" s="45" t="n">
        <v>12</v>
      </c>
      <c r="J120" s="45" t="n">
        <v>12</v>
      </c>
      <c r="K120" s="48" t="n">
        <v>64</v>
      </c>
      <c r="L120" s="48" t="n">
        <v>64</v>
      </c>
      <c r="M120" s="48" t="n">
        <v>0</v>
      </c>
      <c r="N120" s="48" t="n">
        <v>22</v>
      </c>
      <c r="O120" s="48" t="n">
        <v>34</v>
      </c>
      <c r="P120" s="48" t="n">
        <v>0</v>
      </c>
      <c r="Q120" s="48" t="n">
        <v>0</v>
      </c>
      <c r="R120" s="45" t="n">
        <v>0</v>
      </c>
      <c r="S120" s="49" t="n">
        <v>22</v>
      </c>
      <c r="T120" s="49" t="n">
        <v>34</v>
      </c>
      <c r="U120" s="48" t="n">
        <v>1032</v>
      </c>
      <c r="V120" s="48" t="n">
        <v>1032</v>
      </c>
      <c r="W120" s="48" t="n">
        <v>0</v>
      </c>
      <c r="X120" s="48" t="n">
        <v>0</v>
      </c>
      <c r="Y120" s="48" t="n">
        <v>6</v>
      </c>
      <c r="Z120" s="50" t="n">
        <v>58.94</v>
      </c>
      <c r="AA120" s="51" t="n">
        <v>0.2</v>
      </c>
      <c r="AB120" s="51" t="n">
        <v>320</v>
      </c>
      <c r="AC120" s="51" t="n">
        <v>5480</v>
      </c>
      <c r="AD120" s="48" t="n">
        <v>0</v>
      </c>
      <c r="AE120" s="48" t="n">
        <v>0</v>
      </c>
      <c r="AF120" s="48" t="n">
        <v>0</v>
      </c>
      <c r="AG120" s="48" t="n">
        <v>0</v>
      </c>
      <c r="AH120" s="51" t="n">
        <v>320</v>
      </c>
      <c r="AI120" s="30" t="inlineStr">
        <is>
          <t>9 - EXCESSO DE ESTOQUE (&gt; MAXIMO)</t>
        </is>
      </c>
      <c r="AJ120" s="39" t="inlineStr">
        <is>
          <t>M - Centralizado via CD</t>
        </is>
      </c>
      <c r="AK120" s="30" t="inlineStr">
        <is>
          <t>Excesso de Estoque</t>
        </is>
      </c>
    </row>
    <row r="121" ht="20" customHeight="1">
      <c r="A121" s="52" t="n">
        <v>11</v>
      </c>
      <c r="B121" s="52" t="n">
        <v>2047</v>
      </c>
      <c r="C121" s="53" t="inlineStr">
        <is>
          <t>CAFE SOL IGUACU LT LV200G PG190G TRAD</t>
        </is>
      </c>
      <c r="D121" s="53" t="inlineStr">
        <is>
          <t>MERCEARIA</t>
        </is>
      </c>
      <c r="E121" s="53" t="inlineStr">
        <is>
          <t>MERCEARIA SECA</t>
        </is>
      </c>
      <c r="F121" s="53" t="inlineStr">
        <is>
          <t>WERTER</t>
        </is>
      </c>
      <c r="G121" s="53" t="inlineStr">
        <is>
          <t>8702 - CAFE TRES CORACOES S.A</t>
        </is>
      </c>
      <c r="H121" s="47" t="inlineStr">
        <is>
          <t>M</t>
        </is>
      </c>
      <c r="I121" s="52" t="n">
        <v>12</v>
      </c>
      <c r="J121" s="52" t="n">
        <v>12</v>
      </c>
      <c r="K121" s="54" t="n">
        <v>267</v>
      </c>
      <c r="L121" s="54" t="n">
        <v>267</v>
      </c>
      <c r="M121" s="54" t="n">
        <v>0</v>
      </c>
      <c r="N121" s="54" t="n">
        <v>84</v>
      </c>
      <c r="O121" s="54" t="n">
        <v>132</v>
      </c>
      <c r="P121" s="54" t="n">
        <v>0</v>
      </c>
      <c r="Q121" s="54" t="n">
        <v>0</v>
      </c>
      <c r="R121" s="52" t="n">
        <v>0</v>
      </c>
      <c r="S121" s="55" t="n">
        <v>84</v>
      </c>
      <c r="T121" s="55" t="n">
        <v>132</v>
      </c>
      <c r="U121" s="54" t="n">
        <v>3168</v>
      </c>
      <c r="V121" s="54" t="n">
        <v>3168</v>
      </c>
      <c r="W121" s="54" t="n">
        <v>0</v>
      </c>
      <c r="X121" s="54" t="n">
        <v>0</v>
      </c>
      <c r="Y121" s="54" t="n">
        <v>91</v>
      </c>
      <c r="Z121" s="56" t="n">
        <v>2410.59</v>
      </c>
      <c r="AA121" s="57" t="n">
        <v>3.03</v>
      </c>
      <c r="AB121" s="57" t="n">
        <v>88.09999999999999</v>
      </c>
      <c r="AC121" s="57" t="n">
        <v>1133.7</v>
      </c>
      <c r="AD121" s="54" t="n">
        <v>0</v>
      </c>
      <c r="AE121" s="54" t="n">
        <v>0</v>
      </c>
      <c r="AF121" s="54" t="n">
        <v>0</v>
      </c>
      <c r="AG121" s="54" t="n">
        <v>0</v>
      </c>
      <c r="AH121" s="57" t="n">
        <v>88.09999999999999</v>
      </c>
      <c r="AI121" s="30" t="inlineStr">
        <is>
          <t>9 - EXCESSO DE ESTOQUE (&gt; MAXIMO)</t>
        </is>
      </c>
      <c r="AJ121" s="39" t="inlineStr">
        <is>
          <t>M - Centralizado via CD</t>
        </is>
      </c>
      <c r="AK121" s="30" t="inlineStr">
        <is>
          <t>Excesso de Estoque</t>
        </is>
      </c>
    </row>
    <row r="122" ht="20" customHeight="1">
      <c r="A122" s="45" t="n">
        <v>11</v>
      </c>
      <c r="B122" s="45" t="n">
        <v>2027</v>
      </c>
      <c r="C122" s="46" t="inlineStr">
        <is>
          <t>CAFE VACUO MELITTA 250G EXTRA FORTE</t>
        </is>
      </c>
      <c r="D122" s="46" t="inlineStr">
        <is>
          <t>MERCEARIA</t>
        </is>
      </c>
      <c r="E122" s="46" t="inlineStr">
        <is>
          <t>MERCEARIA SECA</t>
        </is>
      </c>
      <c r="F122" s="46" t="inlineStr">
        <is>
          <t>WERTER</t>
        </is>
      </c>
      <c r="G122" s="46" t="inlineStr">
        <is>
          <t>10368 - MELITTA DO BRASIL E COMERCIO LTDA.</t>
        </is>
      </c>
      <c r="H122" s="47" t="inlineStr">
        <is>
          <t>M</t>
        </is>
      </c>
      <c r="I122" s="45" t="n">
        <v>20</v>
      </c>
      <c r="J122" s="45" t="n">
        <v>20</v>
      </c>
      <c r="K122" s="48" t="n">
        <v>77</v>
      </c>
      <c r="L122" s="48" t="n">
        <v>77</v>
      </c>
      <c r="M122" s="48" t="n">
        <v>0</v>
      </c>
      <c r="N122" s="48" t="n">
        <v>30</v>
      </c>
      <c r="O122" s="48" t="n">
        <v>50</v>
      </c>
      <c r="P122" s="48" t="n">
        <v>0</v>
      </c>
      <c r="Q122" s="48" t="n">
        <v>0</v>
      </c>
      <c r="R122" s="45" t="n">
        <v>0</v>
      </c>
      <c r="S122" s="49" t="n">
        <v>30</v>
      </c>
      <c r="T122" s="49" t="n">
        <v>50</v>
      </c>
      <c r="U122" s="48" t="n">
        <v>180</v>
      </c>
      <c r="V122" s="48" t="n">
        <v>180</v>
      </c>
      <c r="W122" s="48" t="n">
        <v>0</v>
      </c>
      <c r="X122" s="48" t="n">
        <v>0</v>
      </c>
      <c r="Y122" s="48" t="n">
        <v>43</v>
      </c>
      <c r="Z122" s="50" t="n">
        <v>640.27</v>
      </c>
      <c r="AA122" s="51" t="n">
        <v>1.43</v>
      </c>
      <c r="AB122" s="51" t="n">
        <v>53.8</v>
      </c>
      <c r="AC122" s="51" t="n">
        <v>179.7</v>
      </c>
      <c r="AD122" s="48" t="n">
        <v>0</v>
      </c>
      <c r="AE122" s="48" t="n">
        <v>0</v>
      </c>
      <c r="AF122" s="48" t="n">
        <v>0</v>
      </c>
      <c r="AG122" s="48" t="n">
        <v>0</v>
      </c>
      <c r="AH122" s="51" t="n">
        <v>53.8</v>
      </c>
      <c r="AI122" s="30" t="inlineStr">
        <is>
          <t>9 - EXCESSO DE ESTOQUE (&gt; MAXIMO)</t>
        </is>
      </c>
      <c r="AJ122" s="39" t="inlineStr">
        <is>
          <t>M - Centralizado via CD</t>
        </is>
      </c>
      <c r="AK122" s="30" t="inlineStr">
        <is>
          <t>Excesso de Estoque</t>
        </is>
      </c>
    </row>
    <row r="123" ht="20" customHeight="1">
      <c r="A123" s="52" t="n">
        <v>11</v>
      </c>
      <c r="B123" s="52" t="n">
        <v>2028</v>
      </c>
      <c r="C123" s="53" t="inlineStr">
        <is>
          <t>CAFE VACUO MELITTA 250G TRAD</t>
        </is>
      </c>
      <c r="D123" s="53" t="inlineStr">
        <is>
          <t>MERCEARIA</t>
        </is>
      </c>
      <c r="E123" s="53" t="inlineStr">
        <is>
          <t>MERCEARIA SECA</t>
        </is>
      </c>
      <c r="F123" s="53" t="inlineStr">
        <is>
          <t>WERTER</t>
        </is>
      </c>
      <c r="G123" s="53" t="inlineStr">
        <is>
          <t>10368 - MELITTA DO BRASIL E COMERCIO LTDA.</t>
        </is>
      </c>
      <c r="H123" s="47" t="inlineStr">
        <is>
          <t>M</t>
        </is>
      </c>
      <c r="I123" s="52" t="n">
        <v>20</v>
      </c>
      <c r="J123" s="52" t="n">
        <v>20</v>
      </c>
      <c r="K123" s="54" t="n">
        <v>136</v>
      </c>
      <c r="L123" s="54" t="n">
        <v>136</v>
      </c>
      <c r="M123" s="54" t="n">
        <v>0</v>
      </c>
      <c r="N123" s="54" t="n">
        <v>50</v>
      </c>
      <c r="O123" s="54" t="n">
        <v>90</v>
      </c>
      <c r="P123" s="54" t="n">
        <v>0</v>
      </c>
      <c r="Q123" s="54" t="n">
        <v>0</v>
      </c>
      <c r="R123" s="52" t="n">
        <v>0</v>
      </c>
      <c r="S123" s="55" t="n">
        <v>50</v>
      </c>
      <c r="T123" s="55" t="n">
        <v>90</v>
      </c>
      <c r="U123" s="54" t="n">
        <v>1880</v>
      </c>
      <c r="V123" s="54" t="n">
        <v>1880</v>
      </c>
      <c r="W123" s="54" t="n">
        <v>0</v>
      </c>
      <c r="X123" s="54" t="n">
        <v>0</v>
      </c>
      <c r="Y123" s="54" t="n">
        <v>97</v>
      </c>
      <c r="Z123" s="56" t="n">
        <v>1444.33</v>
      </c>
      <c r="AA123" s="57" t="n">
        <v>3.23</v>
      </c>
      <c r="AB123" s="57" t="n">
        <v>42.1</v>
      </c>
      <c r="AC123" s="57" t="n">
        <v>624.1</v>
      </c>
      <c r="AD123" s="54" t="n">
        <v>0</v>
      </c>
      <c r="AE123" s="54" t="n">
        <v>0</v>
      </c>
      <c r="AF123" s="54" t="n">
        <v>0</v>
      </c>
      <c r="AG123" s="54" t="n">
        <v>0</v>
      </c>
      <c r="AH123" s="57" t="n">
        <v>42.1</v>
      </c>
      <c r="AI123" s="30" t="inlineStr">
        <is>
          <t>9 - EXCESSO DE ESTOQUE (&gt; MAXIMO)</t>
        </is>
      </c>
      <c r="AJ123" s="39" t="inlineStr">
        <is>
          <t>M - Centralizado via CD</t>
        </is>
      </c>
      <c r="AK123" s="30" t="inlineStr">
        <is>
          <t>Excesso de Estoque</t>
        </is>
      </c>
    </row>
    <row r="124" ht="20" customHeight="1">
      <c r="A124" s="45" t="n">
        <v>11</v>
      </c>
      <c r="B124" s="45" t="n">
        <v>2020</v>
      </c>
      <c r="C124" s="46" t="inlineStr">
        <is>
          <t>CAFE VACUO MELITTA 500G EXTRA FORTE</t>
        </is>
      </c>
      <c r="D124" s="46" t="inlineStr">
        <is>
          <t>MERCEARIA</t>
        </is>
      </c>
      <c r="E124" s="46" t="inlineStr">
        <is>
          <t>MERCEARIA SECA</t>
        </is>
      </c>
      <c r="F124" s="46" t="inlineStr">
        <is>
          <t>WERTER</t>
        </is>
      </c>
      <c r="G124" s="46" t="inlineStr">
        <is>
          <t>10368 - MELITTA DO BRASIL E COMERCIO LTDA.</t>
        </is>
      </c>
      <c r="H124" s="47" t="inlineStr">
        <is>
          <t>M</t>
        </is>
      </c>
      <c r="I124" s="45" t="n">
        <v>20</v>
      </c>
      <c r="J124" s="45" t="n">
        <v>20</v>
      </c>
      <c r="K124" s="48" t="n">
        <v>76</v>
      </c>
      <c r="L124" s="48" t="n">
        <v>76</v>
      </c>
      <c r="M124" s="48" t="n">
        <v>0</v>
      </c>
      <c r="N124" s="48" t="n">
        <v>36</v>
      </c>
      <c r="O124" s="48" t="n">
        <v>56</v>
      </c>
      <c r="P124" s="48" t="n">
        <v>0</v>
      </c>
      <c r="Q124" s="48" t="n">
        <v>0</v>
      </c>
      <c r="R124" s="45" t="n">
        <v>0</v>
      </c>
      <c r="S124" s="49" t="n">
        <v>36</v>
      </c>
      <c r="T124" s="49" t="n">
        <v>56</v>
      </c>
      <c r="U124" s="48" t="n">
        <v>401</v>
      </c>
      <c r="V124" s="48" t="n">
        <v>400</v>
      </c>
      <c r="W124" s="48" t="n">
        <v>0</v>
      </c>
      <c r="X124" s="48" t="n">
        <v>1</v>
      </c>
      <c r="Y124" s="48" t="n">
        <v>71</v>
      </c>
      <c r="Z124" s="50" t="n">
        <v>1926.9</v>
      </c>
      <c r="AA124" s="51" t="n">
        <v>2.37</v>
      </c>
      <c r="AB124" s="51" t="n">
        <v>32.1</v>
      </c>
      <c r="AC124" s="51" t="n">
        <v>201.3</v>
      </c>
      <c r="AD124" s="48" t="n">
        <v>0</v>
      </c>
      <c r="AE124" s="48" t="n">
        <v>0</v>
      </c>
      <c r="AF124" s="48" t="n">
        <v>0</v>
      </c>
      <c r="AG124" s="48" t="n">
        <v>0</v>
      </c>
      <c r="AH124" s="51" t="n">
        <v>32.1</v>
      </c>
      <c r="AI124" s="30" t="inlineStr">
        <is>
          <t>9 - EXCESSO DE ESTOQUE (&gt; MAXIMO)</t>
        </is>
      </c>
      <c r="AJ124" s="39" t="inlineStr">
        <is>
          <t>M - Centralizado via CD</t>
        </is>
      </c>
      <c r="AK124" s="30" t="inlineStr">
        <is>
          <t>Excesso de Estoque</t>
        </is>
      </c>
    </row>
    <row r="125" ht="20" customHeight="1">
      <c r="A125" s="52" t="n">
        <v>11</v>
      </c>
      <c r="B125" s="52" t="n">
        <v>2018</v>
      </c>
      <c r="C125" s="53" t="inlineStr">
        <is>
          <t>CAFE VACUO MELITTA 500G TRAD</t>
        </is>
      </c>
      <c r="D125" s="53" t="inlineStr">
        <is>
          <t>MERCEARIA</t>
        </is>
      </c>
      <c r="E125" s="53" t="inlineStr">
        <is>
          <t>MERCEARIA SECA</t>
        </is>
      </c>
      <c r="F125" s="53" t="inlineStr">
        <is>
          <t>WERTER</t>
        </is>
      </c>
      <c r="G125" s="53" t="inlineStr">
        <is>
          <t>10368 - MELITTA DO BRASIL E COMERCIO LTDA.</t>
        </is>
      </c>
      <c r="H125" s="47" t="inlineStr">
        <is>
          <t>M</t>
        </is>
      </c>
      <c r="I125" s="52" t="n">
        <v>20</v>
      </c>
      <c r="J125" s="52" t="n">
        <v>20</v>
      </c>
      <c r="K125" s="54" t="n">
        <v>114</v>
      </c>
      <c r="L125" s="54" t="n">
        <v>114</v>
      </c>
      <c r="M125" s="54" t="n">
        <v>0</v>
      </c>
      <c r="N125" s="54" t="n">
        <v>72</v>
      </c>
      <c r="O125" s="54" t="n">
        <v>112</v>
      </c>
      <c r="P125" s="54" t="n">
        <v>0</v>
      </c>
      <c r="Q125" s="54" t="n">
        <v>0</v>
      </c>
      <c r="R125" s="52" t="n">
        <v>0</v>
      </c>
      <c r="S125" s="55" t="n">
        <v>72</v>
      </c>
      <c r="T125" s="55" t="n">
        <v>112</v>
      </c>
      <c r="U125" s="54" t="n">
        <v>1684</v>
      </c>
      <c r="V125" s="54" t="n">
        <v>1684</v>
      </c>
      <c r="W125" s="54" t="n">
        <v>0</v>
      </c>
      <c r="X125" s="54" t="n">
        <v>0</v>
      </c>
      <c r="Y125" s="54" t="n">
        <v>155</v>
      </c>
      <c r="Z125" s="56" t="n">
        <v>4226.96</v>
      </c>
      <c r="AA125" s="57" t="n">
        <v>5.17</v>
      </c>
      <c r="AB125" s="57" t="n">
        <v>22.1</v>
      </c>
      <c r="AC125" s="57" t="n">
        <v>347.8</v>
      </c>
      <c r="AD125" s="54" t="n">
        <v>0</v>
      </c>
      <c r="AE125" s="54" t="n">
        <v>0</v>
      </c>
      <c r="AF125" s="54" t="n">
        <v>0</v>
      </c>
      <c r="AG125" s="54" t="n">
        <v>0</v>
      </c>
      <c r="AH125" s="57" t="n">
        <v>22.1</v>
      </c>
      <c r="AI125" s="30" t="inlineStr">
        <is>
          <t>9 - EXCESSO DE ESTOQUE (&gt; MAXIMO)</t>
        </is>
      </c>
      <c r="AJ125" s="39" t="inlineStr">
        <is>
          <t>M - Centralizado via CD</t>
        </is>
      </c>
      <c r="AK125" s="30" t="inlineStr">
        <is>
          <t>Excesso de Estoque</t>
        </is>
      </c>
    </row>
    <row r="126" ht="20" customHeight="1">
      <c r="A126" s="45" t="n">
        <v>12</v>
      </c>
      <c r="B126" s="45" t="n">
        <v>2047</v>
      </c>
      <c r="C126" s="46" t="inlineStr">
        <is>
          <t>CAFE SOL IGUACU LT LV200G PG190G TRAD</t>
        </is>
      </c>
      <c r="D126" s="46" t="inlineStr">
        <is>
          <t>MERCEARIA</t>
        </is>
      </c>
      <c r="E126" s="46" t="inlineStr">
        <is>
          <t>MERCEARIA SECA</t>
        </is>
      </c>
      <c r="F126" s="46" t="inlineStr">
        <is>
          <t>WERTER</t>
        </is>
      </c>
      <c r="G126" s="46" t="inlineStr">
        <is>
          <t>8702 - CAFE TRES CORACOES S.A</t>
        </is>
      </c>
      <c r="H126" s="47" t="inlineStr">
        <is>
          <t>M</t>
        </is>
      </c>
      <c r="I126" s="45" t="n">
        <v>12</v>
      </c>
      <c r="J126" s="45" t="n">
        <v>12</v>
      </c>
      <c r="K126" s="48" t="n">
        <v>240</v>
      </c>
      <c r="L126" s="48" t="n">
        <v>240</v>
      </c>
      <c r="M126" s="48" t="n">
        <v>0</v>
      </c>
      <c r="N126" s="48" t="n">
        <v>28</v>
      </c>
      <c r="O126" s="48" t="n">
        <v>40</v>
      </c>
      <c r="P126" s="48" t="n">
        <v>0</v>
      </c>
      <c r="Q126" s="48" t="n">
        <v>0</v>
      </c>
      <c r="R126" s="45" t="n">
        <v>0</v>
      </c>
      <c r="S126" s="49" t="n">
        <v>28</v>
      </c>
      <c r="T126" s="49" t="n">
        <v>40</v>
      </c>
      <c r="U126" s="48" t="n">
        <v>3168</v>
      </c>
      <c r="V126" s="48" t="n">
        <v>3168</v>
      </c>
      <c r="W126" s="48" t="n">
        <v>0</v>
      </c>
      <c r="X126" s="48" t="n">
        <v>0</v>
      </c>
      <c r="Y126" s="48" t="n">
        <v>66</v>
      </c>
      <c r="Z126" s="50" t="n">
        <v>1748.34</v>
      </c>
      <c r="AA126" s="51" t="n">
        <v>2.2</v>
      </c>
      <c r="AB126" s="51" t="n">
        <v>109.1</v>
      </c>
      <c r="AC126" s="51" t="n">
        <v>1549.1</v>
      </c>
      <c r="AD126" s="48" t="n">
        <v>0</v>
      </c>
      <c r="AE126" s="48" t="n">
        <v>0</v>
      </c>
      <c r="AF126" s="48" t="n">
        <v>0</v>
      </c>
      <c r="AG126" s="48" t="n">
        <v>0</v>
      </c>
      <c r="AH126" s="51" t="n">
        <v>109.1</v>
      </c>
      <c r="AI126" s="30" t="inlineStr">
        <is>
          <t>9 - EXCESSO DE ESTOQUE (&gt; MAXIMO)</t>
        </is>
      </c>
      <c r="AJ126" s="39" t="inlineStr">
        <is>
          <t>M - Centralizado via CD</t>
        </is>
      </c>
      <c r="AK126" s="30" t="inlineStr">
        <is>
          <t>Excesso de Estoque</t>
        </is>
      </c>
    </row>
    <row r="127" ht="20" customHeight="1">
      <c r="A127" s="52" t="n">
        <v>12</v>
      </c>
      <c r="B127" s="52" t="n">
        <v>2027</v>
      </c>
      <c r="C127" s="53" t="inlineStr">
        <is>
          <t>CAFE VACUO MELITTA 250G EXTRA FORTE</t>
        </is>
      </c>
      <c r="D127" s="53" t="inlineStr">
        <is>
          <t>MERCEARIA</t>
        </is>
      </c>
      <c r="E127" s="53" t="inlineStr">
        <is>
          <t>MERCEARIA SECA</t>
        </is>
      </c>
      <c r="F127" s="53" t="inlineStr">
        <is>
          <t>WERTER</t>
        </is>
      </c>
      <c r="G127" s="53" t="inlineStr">
        <is>
          <t>10368 - MELITTA DO BRASIL E COMERCIO LTDA.</t>
        </is>
      </c>
      <c r="H127" s="47" t="inlineStr">
        <is>
          <t>M</t>
        </is>
      </c>
      <c r="I127" s="52" t="n">
        <v>20</v>
      </c>
      <c r="J127" s="52" t="n">
        <v>20</v>
      </c>
      <c r="K127" s="54" t="n">
        <v>59</v>
      </c>
      <c r="L127" s="54" t="n">
        <v>59</v>
      </c>
      <c r="M127" s="54" t="n">
        <v>0</v>
      </c>
      <c r="N127" s="54" t="n">
        <v>12</v>
      </c>
      <c r="O127" s="54" t="n">
        <v>32</v>
      </c>
      <c r="P127" s="54" t="n">
        <v>0</v>
      </c>
      <c r="Q127" s="54" t="n">
        <v>0</v>
      </c>
      <c r="R127" s="52" t="n">
        <v>0</v>
      </c>
      <c r="S127" s="55" t="n">
        <v>12</v>
      </c>
      <c r="T127" s="55" t="n">
        <v>32</v>
      </c>
      <c r="U127" s="54" t="n">
        <v>180</v>
      </c>
      <c r="V127" s="54" t="n">
        <v>180</v>
      </c>
      <c r="W127" s="54" t="n">
        <v>0</v>
      </c>
      <c r="X127" s="54" t="n">
        <v>0</v>
      </c>
      <c r="Y127" s="54" t="n">
        <v>27</v>
      </c>
      <c r="Z127" s="56" t="n">
        <v>402.03</v>
      </c>
      <c r="AA127" s="57" t="n">
        <v>0.9</v>
      </c>
      <c r="AB127" s="57" t="n">
        <v>65.59999999999999</v>
      </c>
      <c r="AC127" s="57" t="n">
        <v>265.6</v>
      </c>
      <c r="AD127" s="54" t="n">
        <v>0</v>
      </c>
      <c r="AE127" s="54" t="n">
        <v>0</v>
      </c>
      <c r="AF127" s="54" t="n">
        <v>0</v>
      </c>
      <c r="AG127" s="54" t="n">
        <v>0</v>
      </c>
      <c r="AH127" s="57" t="n">
        <v>65.59999999999999</v>
      </c>
      <c r="AI127" s="30" t="inlineStr">
        <is>
          <t>9 - EXCESSO DE ESTOQUE (&gt; MAXIMO)</t>
        </is>
      </c>
      <c r="AJ127" s="39" t="inlineStr">
        <is>
          <t>M - Centralizado via CD</t>
        </is>
      </c>
      <c r="AK127" s="30" t="inlineStr">
        <is>
          <t>Excesso de Estoque</t>
        </is>
      </c>
    </row>
    <row r="128" ht="20" customHeight="1">
      <c r="A128" s="45" t="n">
        <v>12</v>
      </c>
      <c r="B128" s="45" t="n">
        <v>2028</v>
      </c>
      <c r="C128" s="46" t="inlineStr">
        <is>
          <t>CAFE VACUO MELITTA 250G TRAD</t>
        </is>
      </c>
      <c r="D128" s="46" t="inlineStr">
        <is>
          <t>MERCEARIA</t>
        </is>
      </c>
      <c r="E128" s="46" t="inlineStr">
        <is>
          <t>MERCEARIA SECA</t>
        </is>
      </c>
      <c r="F128" s="46" t="inlineStr">
        <is>
          <t>WERTER</t>
        </is>
      </c>
      <c r="G128" s="46" t="inlineStr">
        <is>
          <t>10368 - MELITTA DO BRASIL E COMERCIO LTDA.</t>
        </is>
      </c>
      <c r="H128" s="47" t="inlineStr">
        <is>
          <t>M</t>
        </is>
      </c>
      <c r="I128" s="45" t="n">
        <v>20</v>
      </c>
      <c r="J128" s="45" t="n">
        <v>20</v>
      </c>
      <c r="K128" s="48" t="n">
        <v>112</v>
      </c>
      <c r="L128" s="48" t="n">
        <v>112</v>
      </c>
      <c r="M128" s="48" t="n">
        <v>0</v>
      </c>
      <c r="N128" s="48" t="n">
        <v>30</v>
      </c>
      <c r="O128" s="48" t="n">
        <v>50</v>
      </c>
      <c r="P128" s="48" t="n">
        <v>0</v>
      </c>
      <c r="Q128" s="48" t="n">
        <v>0</v>
      </c>
      <c r="R128" s="45" t="n">
        <v>0</v>
      </c>
      <c r="S128" s="49" t="n">
        <v>30</v>
      </c>
      <c r="T128" s="49" t="n">
        <v>50</v>
      </c>
      <c r="U128" s="48" t="n">
        <v>1880</v>
      </c>
      <c r="V128" s="48" t="n">
        <v>1880</v>
      </c>
      <c r="W128" s="48" t="n">
        <v>0</v>
      </c>
      <c r="X128" s="48" t="n">
        <v>0</v>
      </c>
      <c r="Y128" s="48" t="n">
        <v>124</v>
      </c>
      <c r="Z128" s="50" t="n">
        <v>1846.36</v>
      </c>
      <c r="AA128" s="51" t="n">
        <v>4.13</v>
      </c>
      <c r="AB128" s="51" t="n">
        <v>27.1</v>
      </c>
      <c r="AC128" s="51" t="n">
        <v>482.3</v>
      </c>
      <c r="AD128" s="48" t="n">
        <v>0</v>
      </c>
      <c r="AE128" s="48" t="n">
        <v>0</v>
      </c>
      <c r="AF128" s="48" t="n">
        <v>0</v>
      </c>
      <c r="AG128" s="48" t="n">
        <v>0</v>
      </c>
      <c r="AH128" s="51" t="n">
        <v>27.1</v>
      </c>
      <c r="AI128" s="30" t="inlineStr">
        <is>
          <t>9 - EXCESSO DE ESTOQUE (&gt; MAXIMO)</t>
        </is>
      </c>
      <c r="AJ128" s="39" t="inlineStr">
        <is>
          <t>M - Centralizado via CD</t>
        </is>
      </c>
      <c r="AK128" s="30" t="inlineStr">
        <is>
          <t>Excesso de Estoque</t>
        </is>
      </c>
    </row>
    <row r="129" ht="20" customHeight="1">
      <c r="A129" s="52" t="n">
        <v>12</v>
      </c>
      <c r="B129" s="52" t="n">
        <v>2020</v>
      </c>
      <c r="C129" s="53" t="inlineStr">
        <is>
          <t>CAFE VACUO MELITTA 500G EXTRA FORTE</t>
        </is>
      </c>
      <c r="D129" s="53" t="inlineStr">
        <is>
          <t>MERCEARIA</t>
        </is>
      </c>
      <c r="E129" s="53" t="inlineStr">
        <is>
          <t>MERCEARIA SECA</t>
        </is>
      </c>
      <c r="F129" s="53" t="inlineStr">
        <is>
          <t>WERTER</t>
        </is>
      </c>
      <c r="G129" s="53" t="inlineStr">
        <is>
          <t>10368 - MELITTA DO BRASIL E COMERCIO LTDA.</t>
        </is>
      </c>
      <c r="H129" s="47" t="inlineStr">
        <is>
          <t>M</t>
        </is>
      </c>
      <c r="I129" s="52" t="n">
        <v>20</v>
      </c>
      <c r="J129" s="52" t="n">
        <v>20</v>
      </c>
      <c r="K129" s="54" t="n">
        <v>71</v>
      </c>
      <c r="L129" s="54" t="n">
        <v>71</v>
      </c>
      <c r="M129" s="54" t="n">
        <v>0</v>
      </c>
      <c r="N129" s="54" t="n">
        <v>12</v>
      </c>
      <c r="O129" s="54" t="n">
        <v>32</v>
      </c>
      <c r="P129" s="54" t="n">
        <v>0</v>
      </c>
      <c r="Q129" s="54" t="n">
        <v>0</v>
      </c>
      <c r="R129" s="52" t="n">
        <v>0</v>
      </c>
      <c r="S129" s="55" t="n">
        <v>12</v>
      </c>
      <c r="T129" s="55" t="n">
        <v>32</v>
      </c>
      <c r="U129" s="54" t="n">
        <v>401</v>
      </c>
      <c r="V129" s="54" t="n">
        <v>400</v>
      </c>
      <c r="W129" s="54" t="n">
        <v>0</v>
      </c>
      <c r="X129" s="54" t="n">
        <v>1</v>
      </c>
      <c r="Y129" s="54" t="n">
        <v>70</v>
      </c>
      <c r="Z129" s="56" t="n">
        <v>1919.53</v>
      </c>
      <c r="AA129" s="57" t="n">
        <v>2.33</v>
      </c>
      <c r="AB129" s="57" t="n">
        <v>30.5</v>
      </c>
      <c r="AC129" s="57" t="n">
        <v>202.6</v>
      </c>
      <c r="AD129" s="54" t="n">
        <v>0</v>
      </c>
      <c r="AE129" s="54" t="n">
        <v>0</v>
      </c>
      <c r="AF129" s="54" t="n">
        <v>0</v>
      </c>
      <c r="AG129" s="54" t="n">
        <v>0</v>
      </c>
      <c r="AH129" s="57" t="n">
        <v>30.5</v>
      </c>
      <c r="AI129" s="30" t="inlineStr">
        <is>
          <t>9 - EXCESSO DE ESTOQUE (&gt; MAXIMO)</t>
        </is>
      </c>
      <c r="AJ129" s="39" t="inlineStr">
        <is>
          <t>M - Centralizado via CD</t>
        </is>
      </c>
      <c r="AK129" s="30" t="inlineStr">
        <is>
          <t>Excesso de Estoque</t>
        </is>
      </c>
    </row>
    <row r="130" ht="20" customHeight="1">
      <c r="A130" s="45" t="n">
        <v>12</v>
      </c>
      <c r="B130" s="45" t="n">
        <v>2018</v>
      </c>
      <c r="C130" s="46" t="inlineStr">
        <is>
          <t>CAFE VACUO MELITTA 500G TRAD</t>
        </is>
      </c>
      <c r="D130" s="46" t="inlineStr">
        <is>
          <t>MERCEARIA</t>
        </is>
      </c>
      <c r="E130" s="46" t="inlineStr">
        <is>
          <t>MERCEARIA SECA</t>
        </is>
      </c>
      <c r="F130" s="46" t="inlineStr">
        <is>
          <t>WERTER</t>
        </is>
      </c>
      <c r="G130" s="46" t="inlineStr">
        <is>
          <t>10368 - MELITTA DO BRASIL E COMERCIO LTDA.</t>
        </is>
      </c>
      <c r="H130" s="47" t="inlineStr">
        <is>
          <t>M</t>
        </is>
      </c>
      <c r="I130" s="45" t="n">
        <v>20</v>
      </c>
      <c r="J130" s="45" t="n">
        <v>20</v>
      </c>
      <c r="K130" s="48" t="n">
        <v>119</v>
      </c>
      <c r="L130" s="48" t="n">
        <v>119</v>
      </c>
      <c r="M130" s="48" t="n">
        <v>0</v>
      </c>
      <c r="N130" s="48" t="n">
        <v>22</v>
      </c>
      <c r="O130" s="48" t="n">
        <v>42</v>
      </c>
      <c r="P130" s="48" t="n">
        <v>0</v>
      </c>
      <c r="Q130" s="48" t="n">
        <v>0</v>
      </c>
      <c r="R130" s="45" t="n">
        <v>0</v>
      </c>
      <c r="S130" s="49" t="n">
        <v>22</v>
      </c>
      <c r="T130" s="49" t="n">
        <v>42</v>
      </c>
      <c r="U130" s="48" t="n">
        <v>1684</v>
      </c>
      <c r="V130" s="48" t="n">
        <v>1684</v>
      </c>
      <c r="W130" s="48" t="n">
        <v>0</v>
      </c>
      <c r="X130" s="48" t="n">
        <v>0</v>
      </c>
      <c r="Y130" s="48" t="n">
        <v>148</v>
      </c>
      <c r="Z130" s="50" t="n">
        <v>4012.48</v>
      </c>
      <c r="AA130" s="51" t="n">
        <v>4.93</v>
      </c>
      <c r="AB130" s="51" t="n">
        <v>24.1</v>
      </c>
      <c r="AC130" s="51" t="n">
        <v>365.7</v>
      </c>
      <c r="AD130" s="48" t="n">
        <v>0</v>
      </c>
      <c r="AE130" s="48" t="n">
        <v>0</v>
      </c>
      <c r="AF130" s="48" t="n">
        <v>0</v>
      </c>
      <c r="AG130" s="48" t="n">
        <v>0</v>
      </c>
      <c r="AH130" s="51" t="n">
        <v>24.1</v>
      </c>
      <c r="AI130" s="30" t="inlineStr">
        <is>
          <t>9 - EXCESSO DE ESTOQUE (&gt; MAXIMO)</t>
        </is>
      </c>
      <c r="AJ130" s="39" t="inlineStr">
        <is>
          <t>M - Centralizado via CD</t>
        </is>
      </c>
      <c r="AK130" s="30" t="inlineStr">
        <is>
          <t>Excesso de Estoque</t>
        </is>
      </c>
    </row>
    <row r="131" ht="20" customHeight="1">
      <c r="A131" s="52" t="n">
        <v>13</v>
      </c>
      <c r="B131" s="52" t="n">
        <v>2047</v>
      </c>
      <c r="C131" s="53" t="inlineStr">
        <is>
          <t>CAFE SOL IGUACU LT LV200G PG190G TRAD</t>
        </is>
      </c>
      <c r="D131" s="53" t="inlineStr">
        <is>
          <t>MERCEARIA</t>
        </is>
      </c>
      <c r="E131" s="53" t="inlineStr">
        <is>
          <t>MERCEARIA SECA</t>
        </is>
      </c>
      <c r="F131" s="53" t="inlineStr">
        <is>
          <t>WERTER</t>
        </is>
      </c>
      <c r="G131" s="53" t="inlineStr">
        <is>
          <t>8702 - CAFE TRES CORACOES S.A</t>
        </is>
      </c>
      <c r="H131" s="47" t="inlineStr">
        <is>
          <t>M</t>
        </is>
      </c>
      <c r="I131" s="52" t="n">
        <v>12</v>
      </c>
      <c r="J131" s="52" t="n">
        <v>12</v>
      </c>
      <c r="K131" s="54" t="n">
        <v>64</v>
      </c>
      <c r="L131" s="54" t="n">
        <v>64</v>
      </c>
      <c r="M131" s="54" t="n">
        <v>0</v>
      </c>
      <c r="N131" s="54" t="n">
        <v>36</v>
      </c>
      <c r="O131" s="54" t="n">
        <v>60</v>
      </c>
      <c r="P131" s="54" t="n">
        <v>0</v>
      </c>
      <c r="Q131" s="54" t="n">
        <v>0</v>
      </c>
      <c r="R131" s="52" t="n">
        <v>0</v>
      </c>
      <c r="S131" s="55" t="n">
        <v>36</v>
      </c>
      <c r="T131" s="55" t="n">
        <v>60</v>
      </c>
      <c r="U131" s="54" t="n">
        <v>3168</v>
      </c>
      <c r="V131" s="54" t="n">
        <v>3168</v>
      </c>
      <c r="W131" s="54" t="n">
        <v>0</v>
      </c>
      <c r="X131" s="54" t="n">
        <v>0</v>
      </c>
      <c r="Y131" s="54" t="n">
        <v>46</v>
      </c>
      <c r="Z131" s="56" t="n">
        <v>1218.54</v>
      </c>
      <c r="AA131" s="57" t="n">
        <v>1.53</v>
      </c>
      <c r="AB131" s="57" t="n">
        <v>41.8</v>
      </c>
      <c r="AC131" s="57" t="n">
        <v>2112.4</v>
      </c>
      <c r="AD131" s="54" t="n">
        <v>0</v>
      </c>
      <c r="AE131" s="54" t="n">
        <v>0</v>
      </c>
      <c r="AF131" s="54" t="n">
        <v>0</v>
      </c>
      <c r="AG131" s="54" t="n">
        <v>0</v>
      </c>
      <c r="AH131" s="57" t="n">
        <v>41.8</v>
      </c>
      <c r="AI131" s="30" t="inlineStr">
        <is>
          <t>9 - EXCESSO DE ESTOQUE (&gt; MAXIMO)</t>
        </is>
      </c>
      <c r="AJ131" s="39" t="inlineStr">
        <is>
          <t>M - Centralizado via CD</t>
        </is>
      </c>
      <c r="AK131" s="30" t="inlineStr">
        <is>
          <t>Excesso de Estoque</t>
        </is>
      </c>
    </row>
    <row r="132" ht="20" customHeight="1">
      <c r="A132" s="45" t="n">
        <v>13</v>
      </c>
      <c r="B132" s="45" t="n">
        <v>2027</v>
      </c>
      <c r="C132" s="46" t="inlineStr">
        <is>
          <t>CAFE VACUO MELITTA 250G EXTRA FORTE</t>
        </is>
      </c>
      <c r="D132" s="46" t="inlineStr">
        <is>
          <t>MERCEARIA</t>
        </is>
      </c>
      <c r="E132" s="46" t="inlineStr">
        <is>
          <t>MERCEARIA SECA</t>
        </is>
      </c>
      <c r="F132" s="46" t="inlineStr">
        <is>
          <t>WERTER</t>
        </is>
      </c>
      <c r="G132" s="46" t="inlineStr">
        <is>
          <t>10368 - MELITTA DO BRASIL E COMERCIO LTDA.</t>
        </is>
      </c>
      <c r="H132" s="47" t="inlineStr">
        <is>
          <t>M</t>
        </is>
      </c>
      <c r="I132" s="45" t="n">
        <v>20</v>
      </c>
      <c r="J132" s="45" t="n">
        <v>20</v>
      </c>
      <c r="K132" s="48" t="n">
        <v>53</v>
      </c>
      <c r="L132" s="48" t="n">
        <v>53</v>
      </c>
      <c r="M132" s="48" t="n">
        <v>0</v>
      </c>
      <c r="N132" s="48" t="n">
        <v>12</v>
      </c>
      <c r="O132" s="48" t="n">
        <v>32</v>
      </c>
      <c r="P132" s="48" t="n">
        <v>0</v>
      </c>
      <c r="Q132" s="48" t="n">
        <v>0</v>
      </c>
      <c r="R132" s="45" t="n">
        <v>0</v>
      </c>
      <c r="S132" s="49" t="n">
        <v>12</v>
      </c>
      <c r="T132" s="49" t="n">
        <v>32</v>
      </c>
      <c r="U132" s="48" t="n">
        <v>180</v>
      </c>
      <c r="V132" s="48" t="n">
        <v>180</v>
      </c>
      <c r="W132" s="48" t="n">
        <v>0</v>
      </c>
      <c r="X132" s="48" t="n">
        <v>0</v>
      </c>
      <c r="Y132" s="48" t="n">
        <v>26</v>
      </c>
      <c r="Z132" s="50" t="n">
        <v>387.14</v>
      </c>
      <c r="AA132" s="51" t="n">
        <v>0.87</v>
      </c>
      <c r="AB132" s="51" t="n">
        <v>60.9</v>
      </c>
      <c r="AC132" s="51" t="n">
        <v>267.8</v>
      </c>
      <c r="AD132" s="48" t="n">
        <v>0</v>
      </c>
      <c r="AE132" s="48" t="n">
        <v>0</v>
      </c>
      <c r="AF132" s="48" t="n">
        <v>0</v>
      </c>
      <c r="AG132" s="48" t="n">
        <v>0</v>
      </c>
      <c r="AH132" s="51" t="n">
        <v>60.9</v>
      </c>
      <c r="AI132" s="30" t="inlineStr">
        <is>
          <t>9 - EXCESSO DE ESTOQUE (&gt; MAXIMO)</t>
        </is>
      </c>
      <c r="AJ132" s="39" t="inlineStr">
        <is>
          <t>M - Centralizado via CD</t>
        </is>
      </c>
      <c r="AK132" s="30" t="inlineStr">
        <is>
          <t>Excesso de Estoque</t>
        </is>
      </c>
    </row>
    <row r="133" ht="20" customHeight="1">
      <c r="A133" s="52" t="n">
        <v>13</v>
      </c>
      <c r="B133" s="52" t="n">
        <v>2028</v>
      </c>
      <c r="C133" s="53" t="inlineStr">
        <is>
          <t>CAFE VACUO MELITTA 250G TRAD</t>
        </is>
      </c>
      <c r="D133" s="53" t="inlineStr">
        <is>
          <t>MERCEARIA</t>
        </is>
      </c>
      <c r="E133" s="53" t="inlineStr">
        <is>
          <t>MERCEARIA SECA</t>
        </is>
      </c>
      <c r="F133" s="53" t="inlineStr">
        <is>
          <t>WERTER</t>
        </is>
      </c>
      <c r="G133" s="53" t="inlineStr">
        <is>
          <t>10368 - MELITTA DO BRASIL E COMERCIO LTDA.</t>
        </is>
      </c>
      <c r="H133" s="47" t="inlineStr">
        <is>
          <t>M</t>
        </is>
      </c>
      <c r="I133" s="52" t="n">
        <v>20</v>
      </c>
      <c r="J133" s="52" t="n">
        <v>20</v>
      </c>
      <c r="K133" s="54" t="n">
        <v>111</v>
      </c>
      <c r="L133" s="54" t="n">
        <v>111</v>
      </c>
      <c r="M133" s="54" t="n">
        <v>0</v>
      </c>
      <c r="N133" s="54" t="n">
        <v>20</v>
      </c>
      <c r="O133" s="54" t="n">
        <v>40</v>
      </c>
      <c r="P133" s="54" t="n">
        <v>0</v>
      </c>
      <c r="Q133" s="54" t="n">
        <v>0</v>
      </c>
      <c r="R133" s="52" t="n">
        <v>0</v>
      </c>
      <c r="S133" s="55" t="n">
        <v>20</v>
      </c>
      <c r="T133" s="55" t="n">
        <v>40</v>
      </c>
      <c r="U133" s="54" t="n">
        <v>1880</v>
      </c>
      <c r="V133" s="54" t="n">
        <v>1880</v>
      </c>
      <c r="W133" s="54" t="n">
        <v>0</v>
      </c>
      <c r="X133" s="54" t="n">
        <v>0</v>
      </c>
      <c r="Y133" s="54" t="n">
        <v>43</v>
      </c>
      <c r="Z133" s="56" t="n">
        <v>640.27</v>
      </c>
      <c r="AA133" s="57" t="n">
        <v>1.43</v>
      </c>
      <c r="AB133" s="57" t="n">
        <v>77.59999999999999</v>
      </c>
      <c r="AC133" s="57" t="n">
        <v>1392.3</v>
      </c>
      <c r="AD133" s="54" t="n">
        <v>0</v>
      </c>
      <c r="AE133" s="54" t="n">
        <v>0</v>
      </c>
      <c r="AF133" s="54" t="n">
        <v>0</v>
      </c>
      <c r="AG133" s="54" t="n">
        <v>0</v>
      </c>
      <c r="AH133" s="57" t="n">
        <v>77.59999999999999</v>
      </c>
      <c r="AI133" s="30" t="inlineStr">
        <is>
          <t>9 - EXCESSO DE ESTOQUE (&gt; MAXIMO)</t>
        </is>
      </c>
      <c r="AJ133" s="39" t="inlineStr">
        <is>
          <t>M - Centralizado via CD</t>
        </is>
      </c>
      <c r="AK133" s="30" t="inlineStr">
        <is>
          <t>Excesso de Estoque</t>
        </is>
      </c>
    </row>
    <row r="134" ht="20" customHeight="1">
      <c r="A134" s="45" t="n">
        <v>13</v>
      </c>
      <c r="B134" s="45" t="n">
        <v>2018</v>
      </c>
      <c r="C134" s="46" t="inlineStr">
        <is>
          <t>CAFE VACUO MELITTA 500G TRAD</t>
        </is>
      </c>
      <c r="D134" s="46" t="inlineStr">
        <is>
          <t>MERCEARIA</t>
        </is>
      </c>
      <c r="E134" s="46" t="inlineStr">
        <is>
          <t>MERCEARIA SECA</t>
        </is>
      </c>
      <c r="F134" s="46" t="inlineStr">
        <is>
          <t>WERTER</t>
        </is>
      </c>
      <c r="G134" s="46" t="inlineStr">
        <is>
          <t>10368 - MELITTA DO BRASIL E COMERCIO LTDA.</t>
        </is>
      </c>
      <c r="H134" s="47" t="inlineStr">
        <is>
          <t>M</t>
        </is>
      </c>
      <c r="I134" s="45" t="n">
        <v>20</v>
      </c>
      <c r="J134" s="45" t="n">
        <v>20</v>
      </c>
      <c r="K134" s="48" t="n">
        <v>102</v>
      </c>
      <c r="L134" s="48" t="n">
        <v>102</v>
      </c>
      <c r="M134" s="48" t="n">
        <v>0</v>
      </c>
      <c r="N134" s="48" t="n">
        <v>20</v>
      </c>
      <c r="O134" s="48" t="n">
        <v>40</v>
      </c>
      <c r="P134" s="48" t="n">
        <v>0</v>
      </c>
      <c r="Q134" s="48" t="n">
        <v>0</v>
      </c>
      <c r="R134" s="45" t="n">
        <v>0</v>
      </c>
      <c r="S134" s="49" t="n">
        <v>20</v>
      </c>
      <c r="T134" s="49" t="n">
        <v>40</v>
      </c>
      <c r="U134" s="48" t="n">
        <v>1684</v>
      </c>
      <c r="V134" s="48" t="n">
        <v>1684</v>
      </c>
      <c r="W134" s="48" t="n">
        <v>0</v>
      </c>
      <c r="X134" s="48" t="n">
        <v>0</v>
      </c>
      <c r="Y134" s="48" t="n">
        <v>152</v>
      </c>
      <c r="Z134" s="50" t="n">
        <v>4151.65</v>
      </c>
      <c r="AA134" s="51" t="n">
        <v>5.07</v>
      </c>
      <c r="AB134" s="51" t="n">
        <v>20.1</v>
      </c>
      <c r="AC134" s="51" t="n">
        <v>352.3</v>
      </c>
      <c r="AD134" s="48" t="n">
        <v>0</v>
      </c>
      <c r="AE134" s="48" t="n">
        <v>0</v>
      </c>
      <c r="AF134" s="48" t="n">
        <v>0</v>
      </c>
      <c r="AG134" s="48" t="n">
        <v>0</v>
      </c>
      <c r="AH134" s="51" t="n">
        <v>20.1</v>
      </c>
      <c r="AI134" s="30" t="inlineStr">
        <is>
          <t>9 - EXCESSO DE ESTOQUE (&gt; MAXIMO)</t>
        </is>
      </c>
      <c r="AJ134" s="39" t="inlineStr">
        <is>
          <t>M - Centralizado via CD</t>
        </is>
      </c>
      <c r="AK134" s="30" t="inlineStr">
        <is>
          <t>Excesso de Estoque</t>
        </is>
      </c>
    </row>
    <row r="135" ht="20" customHeight="1">
      <c r="A135" s="52" t="n">
        <v>14</v>
      </c>
      <c r="B135" s="52" t="n">
        <v>853</v>
      </c>
      <c r="C135" s="53" t="inlineStr">
        <is>
          <t>REFRIG FANTA PET 600ML UVA</t>
        </is>
      </c>
      <c r="D135" s="53" t="inlineStr">
        <is>
          <t>BEBIDAS</t>
        </is>
      </c>
      <c r="E135" s="53" t="inlineStr">
        <is>
          <t>BEBIDA</t>
        </is>
      </c>
      <c r="F135" s="53" t="inlineStr">
        <is>
          <t>NICOLAS</t>
        </is>
      </c>
      <c r="G135" s="53" t="inlineStr">
        <is>
          <t>15441 - SPAL IND BRAS BEBIDAS AS</t>
        </is>
      </c>
      <c r="H135" s="47" t="inlineStr">
        <is>
          <t>M</t>
        </is>
      </c>
      <c r="I135" s="52" t="n">
        <v>6</v>
      </c>
      <c r="J135" s="52" t="n">
        <v>6</v>
      </c>
      <c r="K135" s="54" t="n">
        <v>52</v>
      </c>
      <c r="L135" s="54" t="n">
        <v>52</v>
      </c>
      <c r="M135" s="54" t="n">
        <v>0</v>
      </c>
      <c r="N135" s="54" t="n">
        <v>32</v>
      </c>
      <c r="O135" s="54" t="n">
        <v>50</v>
      </c>
      <c r="P135" s="54" t="n">
        <v>0</v>
      </c>
      <c r="Q135" s="54" t="n">
        <v>0</v>
      </c>
      <c r="R135" s="52" t="n">
        <v>0</v>
      </c>
      <c r="S135" s="55" t="n">
        <v>32</v>
      </c>
      <c r="T135" s="55" t="n">
        <v>50</v>
      </c>
      <c r="U135" s="54" t="n">
        <v>0</v>
      </c>
      <c r="V135" s="54" t="n">
        <v>0</v>
      </c>
      <c r="W135" s="54" t="n">
        <v>0</v>
      </c>
      <c r="X135" s="54" t="n">
        <v>0</v>
      </c>
      <c r="Y135" s="54" t="n">
        <v>40</v>
      </c>
      <c r="Z135" s="56" t="n">
        <v>174.8</v>
      </c>
      <c r="AA135" s="57" t="n">
        <v>1.33</v>
      </c>
      <c r="AB135" s="57" t="n">
        <v>39.1</v>
      </c>
      <c r="AC135" s="57" t="n">
        <v>39.1</v>
      </c>
      <c r="AD135" s="54" t="n">
        <v>90</v>
      </c>
      <c r="AE135" s="54" t="n">
        <v>0</v>
      </c>
      <c r="AF135" s="54" t="n">
        <v>0</v>
      </c>
      <c r="AG135" s="54" t="n">
        <v>90</v>
      </c>
      <c r="AH135" s="57" t="n">
        <v>106.8</v>
      </c>
      <c r="AI135" s="30" t="inlineStr">
        <is>
          <t>9 - EXCESSO DE ESTOQUE (&gt; MAXIMO)</t>
        </is>
      </c>
      <c r="AJ135" s="39" t="inlineStr">
        <is>
          <t>M - Centralizado via CD</t>
        </is>
      </c>
      <c r="AK135" s="30" t="inlineStr">
        <is>
          <t>Excesso de Estoque</t>
        </is>
      </c>
    </row>
    <row r="136" ht="20" customHeight="1">
      <c r="A136" s="45" t="n">
        <v>14</v>
      </c>
      <c r="B136" s="45" t="n">
        <v>899</v>
      </c>
      <c r="C136" s="46" t="inlineStr">
        <is>
          <t>REFRIG FANTA UVA LT 350ML</t>
        </is>
      </c>
      <c r="D136" s="46" t="inlineStr">
        <is>
          <t>BEBIDAS</t>
        </is>
      </c>
      <c r="E136" s="46" t="inlineStr">
        <is>
          <t>BEBIDA</t>
        </is>
      </c>
      <c r="F136" s="46" t="inlineStr">
        <is>
          <t>NICOLAS</t>
        </is>
      </c>
      <c r="G136" s="46" t="inlineStr">
        <is>
          <t>15441 - SPAL IND BRAS BEBIDAS AS</t>
        </is>
      </c>
      <c r="H136" s="47" t="inlineStr">
        <is>
          <t>M</t>
        </is>
      </c>
      <c r="I136" s="45" t="n">
        <v>6</v>
      </c>
      <c r="J136" s="45" t="n">
        <v>6</v>
      </c>
      <c r="K136" s="48" t="n">
        <v>38</v>
      </c>
      <c r="L136" s="48" t="n">
        <v>38</v>
      </c>
      <c r="M136" s="48" t="n">
        <v>0</v>
      </c>
      <c r="N136" s="48" t="n">
        <v>24</v>
      </c>
      <c r="O136" s="48" t="n">
        <v>30</v>
      </c>
      <c r="P136" s="48" t="n">
        <v>0</v>
      </c>
      <c r="Q136" s="48" t="n">
        <v>0</v>
      </c>
      <c r="R136" s="45" t="n">
        <v>0</v>
      </c>
      <c r="S136" s="49" t="n">
        <v>24</v>
      </c>
      <c r="T136" s="49" t="n">
        <v>30</v>
      </c>
      <c r="U136" s="48" t="n">
        <v>74</v>
      </c>
      <c r="V136" s="48" t="n">
        <v>74</v>
      </c>
      <c r="W136" s="48" t="n">
        <v>0</v>
      </c>
      <c r="X136" s="48" t="n">
        <v>0</v>
      </c>
      <c r="Y136" s="48" t="n">
        <v>70</v>
      </c>
      <c r="Z136" s="50" t="n">
        <v>228.8</v>
      </c>
      <c r="AA136" s="51" t="n">
        <v>2.33</v>
      </c>
      <c r="AB136" s="51" t="n">
        <v>16.3</v>
      </c>
      <c r="AC136" s="51" t="n">
        <v>48.1</v>
      </c>
      <c r="AD136" s="48" t="n">
        <v>0</v>
      </c>
      <c r="AE136" s="48" t="n">
        <v>0</v>
      </c>
      <c r="AF136" s="48" t="n">
        <v>0</v>
      </c>
      <c r="AG136" s="48" t="n">
        <v>0</v>
      </c>
      <c r="AH136" s="51" t="n">
        <v>16.3</v>
      </c>
      <c r="AI136" s="30" t="inlineStr">
        <is>
          <t>9 - EXCESSO DE ESTOQUE (&gt; MAXIMO)</t>
        </is>
      </c>
      <c r="AJ136" s="39" t="inlineStr">
        <is>
          <t>M - Centralizado via CD</t>
        </is>
      </c>
      <c r="AK136" s="30" t="inlineStr">
        <is>
          <t>Excesso de Estoque</t>
        </is>
      </c>
    </row>
    <row r="137" ht="20" customHeight="1">
      <c r="A137" s="52" t="n">
        <v>14</v>
      </c>
      <c r="B137" s="52" t="n">
        <v>812</v>
      </c>
      <c r="C137" s="53" t="inlineStr">
        <is>
          <t>REFRIG FANTA UVA PET 2L</t>
        </is>
      </c>
      <c r="D137" s="53" t="inlineStr">
        <is>
          <t>BEBIDAS</t>
        </is>
      </c>
      <c r="E137" s="53" t="inlineStr">
        <is>
          <t>BEBIDA</t>
        </is>
      </c>
      <c r="F137" s="53" t="inlineStr">
        <is>
          <t>NICOLAS</t>
        </is>
      </c>
      <c r="G137" s="53" t="inlineStr">
        <is>
          <t>15441 - SPAL IND BRAS BEBIDAS AS</t>
        </is>
      </c>
      <c r="H137" s="47" t="inlineStr">
        <is>
          <t>M</t>
        </is>
      </c>
      <c r="I137" s="52" t="n">
        <v>8</v>
      </c>
      <c r="J137" s="52" t="n">
        <v>8</v>
      </c>
      <c r="K137" s="54" t="n">
        <v>65</v>
      </c>
      <c r="L137" s="54" t="n">
        <v>65</v>
      </c>
      <c r="M137" s="54" t="n">
        <v>0</v>
      </c>
      <c r="N137" s="54" t="n">
        <v>30</v>
      </c>
      <c r="O137" s="54" t="n">
        <v>38</v>
      </c>
      <c r="P137" s="54" t="n">
        <v>0</v>
      </c>
      <c r="Q137" s="54" t="n">
        <v>0</v>
      </c>
      <c r="R137" s="52" t="n">
        <v>0</v>
      </c>
      <c r="S137" s="55" t="n">
        <v>30</v>
      </c>
      <c r="T137" s="55" t="n">
        <v>38</v>
      </c>
      <c r="U137" s="54" t="n">
        <v>336</v>
      </c>
      <c r="V137" s="54" t="n">
        <v>336</v>
      </c>
      <c r="W137" s="54" t="n">
        <v>0</v>
      </c>
      <c r="X137" s="54" t="n">
        <v>0</v>
      </c>
      <c r="Y137" s="54" t="n">
        <v>67</v>
      </c>
      <c r="Z137" s="56" t="n">
        <v>588.9299999999999</v>
      </c>
      <c r="AA137" s="57" t="n">
        <v>2.23</v>
      </c>
      <c r="AB137" s="57" t="n">
        <v>29.1</v>
      </c>
      <c r="AC137" s="57" t="n">
        <v>179.8</v>
      </c>
      <c r="AD137" s="54" t="n">
        <v>0</v>
      </c>
      <c r="AE137" s="54" t="n">
        <v>0</v>
      </c>
      <c r="AF137" s="54" t="n">
        <v>0</v>
      </c>
      <c r="AG137" s="54" t="n">
        <v>0</v>
      </c>
      <c r="AH137" s="57" t="n">
        <v>29.1</v>
      </c>
      <c r="AI137" s="30" t="inlineStr">
        <is>
          <t>9 - EXCESSO DE ESTOQUE (&gt; MAXIMO)</t>
        </is>
      </c>
      <c r="AJ137" s="39" t="inlineStr">
        <is>
          <t>M - Centralizado via CD</t>
        </is>
      </c>
      <c r="AK137" s="30" t="inlineStr">
        <is>
          <t>Excesso de Estoque</t>
        </is>
      </c>
    </row>
    <row r="138" ht="20" customHeight="1">
      <c r="A138" s="45" t="n">
        <v>14</v>
      </c>
      <c r="B138" s="45" t="n">
        <v>2047</v>
      </c>
      <c r="C138" s="46" t="inlineStr">
        <is>
          <t>CAFE SOL IGUACU LT LV200G PG190G TRAD</t>
        </is>
      </c>
      <c r="D138" s="46" t="inlineStr">
        <is>
          <t>MERCEARIA</t>
        </is>
      </c>
      <c r="E138" s="46" t="inlineStr">
        <is>
          <t>MERCEARIA SECA</t>
        </is>
      </c>
      <c r="F138" s="46" t="inlineStr">
        <is>
          <t>WERTER</t>
        </is>
      </c>
      <c r="G138" s="46" t="inlineStr">
        <is>
          <t>8702 - CAFE TRES CORACOES S.A</t>
        </is>
      </c>
      <c r="H138" s="47" t="inlineStr">
        <is>
          <t>M</t>
        </is>
      </c>
      <c r="I138" s="45" t="n">
        <v>12</v>
      </c>
      <c r="J138" s="45" t="n">
        <v>12</v>
      </c>
      <c r="K138" s="48" t="n">
        <v>67</v>
      </c>
      <c r="L138" s="48" t="n">
        <v>67</v>
      </c>
      <c r="M138" s="48" t="n">
        <v>0</v>
      </c>
      <c r="N138" s="48" t="n">
        <v>36</v>
      </c>
      <c r="O138" s="48" t="n">
        <v>60</v>
      </c>
      <c r="P138" s="48" t="n">
        <v>0</v>
      </c>
      <c r="Q138" s="48" t="n">
        <v>0</v>
      </c>
      <c r="R138" s="45" t="n">
        <v>0</v>
      </c>
      <c r="S138" s="49" t="n">
        <v>36</v>
      </c>
      <c r="T138" s="49" t="n">
        <v>60</v>
      </c>
      <c r="U138" s="48" t="n">
        <v>3168</v>
      </c>
      <c r="V138" s="48" t="n">
        <v>3168</v>
      </c>
      <c r="W138" s="48" t="n">
        <v>0</v>
      </c>
      <c r="X138" s="48" t="n">
        <v>0</v>
      </c>
      <c r="Y138" s="48" t="n">
        <v>62</v>
      </c>
      <c r="Z138" s="50" t="n">
        <v>1642.38</v>
      </c>
      <c r="AA138" s="51" t="n">
        <v>2.07</v>
      </c>
      <c r="AB138" s="51" t="n">
        <v>32.4</v>
      </c>
      <c r="AC138" s="51" t="n">
        <v>1562.8</v>
      </c>
      <c r="AD138" s="48" t="n">
        <v>0</v>
      </c>
      <c r="AE138" s="48" t="n">
        <v>0</v>
      </c>
      <c r="AF138" s="48" t="n">
        <v>0</v>
      </c>
      <c r="AG138" s="48" t="n">
        <v>0</v>
      </c>
      <c r="AH138" s="51" t="n">
        <v>32.4</v>
      </c>
      <c r="AI138" s="30" t="inlineStr">
        <is>
          <t>9 - EXCESSO DE ESTOQUE (&gt; MAXIMO)</t>
        </is>
      </c>
      <c r="AJ138" s="39" t="inlineStr">
        <is>
          <t>M - Centralizado via CD</t>
        </is>
      </c>
      <c r="AK138" s="30" t="inlineStr">
        <is>
          <t>Excesso de Estoque</t>
        </is>
      </c>
    </row>
    <row r="139" ht="20" customHeight="1">
      <c r="A139" s="52" t="n">
        <v>14</v>
      </c>
      <c r="B139" s="52" t="n">
        <v>2027</v>
      </c>
      <c r="C139" s="53" t="inlineStr">
        <is>
          <t>CAFE VACUO MELITTA 250G EXTRA FORTE</t>
        </is>
      </c>
      <c r="D139" s="53" t="inlineStr">
        <is>
          <t>MERCEARIA</t>
        </is>
      </c>
      <c r="E139" s="53" t="inlineStr">
        <is>
          <t>MERCEARIA SECA</t>
        </is>
      </c>
      <c r="F139" s="53" t="inlineStr">
        <is>
          <t>WERTER</t>
        </is>
      </c>
      <c r="G139" s="53" t="inlineStr">
        <is>
          <t>10368 - MELITTA DO BRASIL E COMERCIO LTDA.</t>
        </is>
      </c>
      <c r="H139" s="47" t="inlineStr">
        <is>
          <t>M</t>
        </is>
      </c>
      <c r="I139" s="52" t="n">
        <v>20</v>
      </c>
      <c r="J139" s="52" t="n">
        <v>20</v>
      </c>
      <c r="K139" s="54" t="n">
        <v>80</v>
      </c>
      <c r="L139" s="54" t="n">
        <v>80</v>
      </c>
      <c r="M139" s="54" t="n">
        <v>0</v>
      </c>
      <c r="N139" s="54" t="n">
        <v>12</v>
      </c>
      <c r="O139" s="54" t="n">
        <v>32</v>
      </c>
      <c r="P139" s="54" t="n">
        <v>0</v>
      </c>
      <c r="Q139" s="54" t="n">
        <v>0</v>
      </c>
      <c r="R139" s="52" t="n">
        <v>0</v>
      </c>
      <c r="S139" s="55" t="n">
        <v>12</v>
      </c>
      <c r="T139" s="55" t="n">
        <v>32</v>
      </c>
      <c r="U139" s="54" t="n">
        <v>180</v>
      </c>
      <c r="V139" s="54" t="n">
        <v>180</v>
      </c>
      <c r="W139" s="54" t="n">
        <v>0</v>
      </c>
      <c r="X139" s="54" t="n">
        <v>0</v>
      </c>
      <c r="Y139" s="54" t="n">
        <v>64</v>
      </c>
      <c r="Z139" s="56" t="n">
        <v>952.96</v>
      </c>
      <c r="AA139" s="57" t="n">
        <v>2.13</v>
      </c>
      <c r="AB139" s="57" t="n">
        <v>37.6</v>
      </c>
      <c r="AC139" s="57" t="n">
        <v>122.1</v>
      </c>
      <c r="AD139" s="54" t="n">
        <v>0</v>
      </c>
      <c r="AE139" s="54" t="n">
        <v>0</v>
      </c>
      <c r="AF139" s="54" t="n">
        <v>0</v>
      </c>
      <c r="AG139" s="54" t="n">
        <v>0</v>
      </c>
      <c r="AH139" s="57" t="n">
        <v>37.6</v>
      </c>
      <c r="AI139" s="30" t="inlineStr">
        <is>
          <t>9 - EXCESSO DE ESTOQUE (&gt; MAXIMO)</t>
        </is>
      </c>
      <c r="AJ139" s="39" t="inlineStr">
        <is>
          <t>M - Centralizado via CD</t>
        </is>
      </c>
      <c r="AK139" s="30" t="inlineStr">
        <is>
          <t>Excesso de Estoque</t>
        </is>
      </c>
    </row>
    <row r="140" ht="20" customHeight="1">
      <c r="A140" s="45" t="n">
        <v>14</v>
      </c>
      <c r="B140" s="45" t="n">
        <v>2028</v>
      </c>
      <c r="C140" s="46" t="inlineStr">
        <is>
          <t>CAFE VACUO MELITTA 250G TRAD</t>
        </is>
      </c>
      <c r="D140" s="46" t="inlineStr">
        <is>
          <t>MERCEARIA</t>
        </is>
      </c>
      <c r="E140" s="46" t="inlineStr">
        <is>
          <t>MERCEARIA SECA</t>
        </is>
      </c>
      <c r="F140" s="46" t="inlineStr">
        <is>
          <t>WERTER</t>
        </is>
      </c>
      <c r="G140" s="46" t="inlineStr">
        <is>
          <t>10368 - MELITTA DO BRASIL E COMERCIO LTDA.</t>
        </is>
      </c>
      <c r="H140" s="47" t="inlineStr">
        <is>
          <t>M</t>
        </is>
      </c>
      <c r="I140" s="45" t="n">
        <v>20</v>
      </c>
      <c r="J140" s="45" t="n">
        <v>20</v>
      </c>
      <c r="K140" s="48" t="n">
        <v>98</v>
      </c>
      <c r="L140" s="48" t="n">
        <v>98</v>
      </c>
      <c r="M140" s="48" t="n">
        <v>0</v>
      </c>
      <c r="N140" s="48" t="n">
        <v>28</v>
      </c>
      <c r="O140" s="48" t="n">
        <v>48</v>
      </c>
      <c r="P140" s="48" t="n">
        <v>0</v>
      </c>
      <c r="Q140" s="48" t="n">
        <v>0</v>
      </c>
      <c r="R140" s="45" t="n">
        <v>0</v>
      </c>
      <c r="S140" s="49" t="n">
        <v>28</v>
      </c>
      <c r="T140" s="49" t="n">
        <v>48</v>
      </c>
      <c r="U140" s="48" t="n">
        <v>1880</v>
      </c>
      <c r="V140" s="48" t="n">
        <v>1880</v>
      </c>
      <c r="W140" s="48" t="n">
        <v>0</v>
      </c>
      <c r="X140" s="48" t="n">
        <v>0</v>
      </c>
      <c r="Y140" s="48" t="n">
        <v>83</v>
      </c>
      <c r="Z140" s="50" t="n">
        <v>1235.87</v>
      </c>
      <c r="AA140" s="51" t="n">
        <v>2.77</v>
      </c>
      <c r="AB140" s="51" t="n">
        <v>35.4</v>
      </c>
      <c r="AC140" s="51" t="n">
        <v>714.1</v>
      </c>
      <c r="AD140" s="48" t="n">
        <v>0</v>
      </c>
      <c r="AE140" s="48" t="n">
        <v>0</v>
      </c>
      <c r="AF140" s="48" t="n">
        <v>0</v>
      </c>
      <c r="AG140" s="48" t="n">
        <v>0</v>
      </c>
      <c r="AH140" s="51" t="n">
        <v>35.4</v>
      </c>
      <c r="AI140" s="30" t="inlineStr">
        <is>
          <t>9 - EXCESSO DE ESTOQUE (&gt; MAXIMO)</t>
        </is>
      </c>
      <c r="AJ140" s="39" t="inlineStr">
        <is>
          <t>M - Centralizado via CD</t>
        </is>
      </c>
      <c r="AK140" s="30" t="inlineStr">
        <is>
          <t>Excesso de Estoque</t>
        </is>
      </c>
    </row>
    <row r="141" ht="20" customHeight="1">
      <c r="A141" s="52" t="n">
        <v>14</v>
      </c>
      <c r="B141" s="52" t="n">
        <v>2020</v>
      </c>
      <c r="C141" s="53" t="inlineStr">
        <is>
          <t>CAFE VACUO MELITTA 500G EXTRA FORTE</t>
        </is>
      </c>
      <c r="D141" s="53" t="inlineStr">
        <is>
          <t>MERCEARIA</t>
        </is>
      </c>
      <c r="E141" s="53" t="inlineStr">
        <is>
          <t>MERCEARIA SECA</t>
        </is>
      </c>
      <c r="F141" s="53" t="inlineStr">
        <is>
          <t>WERTER</t>
        </is>
      </c>
      <c r="G141" s="53" t="inlineStr">
        <is>
          <t>10368 - MELITTA DO BRASIL E COMERCIO LTDA.</t>
        </is>
      </c>
      <c r="H141" s="47" t="inlineStr">
        <is>
          <t>M</t>
        </is>
      </c>
      <c r="I141" s="52" t="n">
        <v>20</v>
      </c>
      <c r="J141" s="52" t="n">
        <v>20</v>
      </c>
      <c r="K141" s="54" t="n">
        <v>64</v>
      </c>
      <c r="L141" s="54" t="n">
        <v>64</v>
      </c>
      <c r="M141" s="54" t="n">
        <v>0</v>
      </c>
      <c r="N141" s="54" t="n">
        <v>12</v>
      </c>
      <c r="O141" s="54" t="n">
        <v>32</v>
      </c>
      <c r="P141" s="54" t="n">
        <v>0</v>
      </c>
      <c r="Q141" s="54" t="n">
        <v>0</v>
      </c>
      <c r="R141" s="52" t="n">
        <v>0</v>
      </c>
      <c r="S141" s="55" t="n">
        <v>12</v>
      </c>
      <c r="T141" s="55" t="n">
        <v>32</v>
      </c>
      <c r="U141" s="54" t="n">
        <v>401</v>
      </c>
      <c r="V141" s="54" t="n">
        <v>400</v>
      </c>
      <c r="W141" s="54" t="n">
        <v>0</v>
      </c>
      <c r="X141" s="54" t="n">
        <v>1</v>
      </c>
      <c r="Y141" s="54" t="n">
        <v>57</v>
      </c>
      <c r="Z141" s="56" t="n">
        <v>1551.97</v>
      </c>
      <c r="AA141" s="57" t="n">
        <v>1.9</v>
      </c>
      <c r="AB141" s="57" t="n">
        <v>33.7</v>
      </c>
      <c r="AC141" s="57" t="n">
        <v>244.7</v>
      </c>
      <c r="AD141" s="54" t="n">
        <v>0</v>
      </c>
      <c r="AE141" s="54" t="n">
        <v>0</v>
      </c>
      <c r="AF141" s="54" t="n">
        <v>0</v>
      </c>
      <c r="AG141" s="54" t="n">
        <v>0</v>
      </c>
      <c r="AH141" s="57" t="n">
        <v>33.7</v>
      </c>
      <c r="AI141" s="30" t="inlineStr">
        <is>
          <t>9 - EXCESSO DE ESTOQUE (&gt; MAXIMO)</t>
        </is>
      </c>
      <c r="AJ141" s="39" t="inlineStr">
        <is>
          <t>M - Centralizado via CD</t>
        </is>
      </c>
      <c r="AK141" s="30" t="inlineStr">
        <is>
          <t>Excesso de Estoque</t>
        </is>
      </c>
    </row>
    <row r="142" ht="20" customHeight="1">
      <c r="A142" s="45" t="n">
        <v>14</v>
      </c>
      <c r="B142" s="45" t="n">
        <v>2018</v>
      </c>
      <c r="C142" s="46" t="inlineStr">
        <is>
          <t>CAFE VACUO MELITTA 500G TRAD</t>
        </is>
      </c>
      <c r="D142" s="46" t="inlineStr">
        <is>
          <t>MERCEARIA</t>
        </is>
      </c>
      <c r="E142" s="46" t="inlineStr">
        <is>
          <t>MERCEARIA SECA</t>
        </is>
      </c>
      <c r="F142" s="46" t="inlineStr">
        <is>
          <t>WERTER</t>
        </is>
      </c>
      <c r="G142" s="46" t="inlineStr">
        <is>
          <t>10368 - MELITTA DO BRASIL E COMERCIO LTDA.</t>
        </is>
      </c>
      <c r="H142" s="47" t="inlineStr">
        <is>
          <t>M</t>
        </is>
      </c>
      <c r="I142" s="45" t="n">
        <v>20</v>
      </c>
      <c r="J142" s="45" t="n">
        <v>20</v>
      </c>
      <c r="K142" s="48" t="n">
        <v>89</v>
      </c>
      <c r="L142" s="48" t="n">
        <v>89</v>
      </c>
      <c r="M142" s="48" t="n">
        <v>0</v>
      </c>
      <c r="N142" s="48" t="n">
        <v>34</v>
      </c>
      <c r="O142" s="48" t="n">
        <v>54</v>
      </c>
      <c r="P142" s="48" t="n">
        <v>0</v>
      </c>
      <c r="Q142" s="48" t="n">
        <v>0</v>
      </c>
      <c r="R142" s="45" t="n">
        <v>0</v>
      </c>
      <c r="S142" s="49" t="n">
        <v>34</v>
      </c>
      <c r="T142" s="49" t="n">
        <v>54</v>
      </c>
      <c r="U142" s="48" t="n">
        <v>1684</v>
      </c>
      <c r="V142" s="48" t="n">
        <v>1684</v>
      </c>
      <c r="W142" s="48" t="n">
        <v>0</v>
      </c>
      <c r="X142" s="48" t="n">
        <v>0</v>
      </c>
      <c r="Y142" s="48" t="n">
        <v>161</v>
      </c>
      <c r="Z142" s="50" t="n">
        <v>4383.92</v>
      </c>
      <c r="AA142" s="51" t="n">
        <v>5.37</v>
      </c>
      <c r="AB142" s="51" t="n">
        <v>16.6</v>
      </c>
      <c r="AC142" s="51" t="n">
        <v>330.2</v>
      </c>
      <c r="AD142" s="48" t="n">
        <v>0</v>
      </c>
      <c r="AE142" s="48" t="n">
        <v>0</v>
      </c>
      <c r="AF142" s="48" t="n">
        <v>0</v>
      </c>
      <c r="AG142" s="48" t="n">
        <v>0</v>
      </c>
      <c r="AH142" s="51" t="n">
        <v>16.6</v>
      </c>
      <c r="AI142" s="30" t="inlineStr">
        <is>
          <t>9 - EXCESSO DE ESTOQUE (&gt; MAXIMO)</t>
        </is>
      </c>
      <c r="AJ142" s="39" t="inlineStr">
        <is>
          <t>M - Centralizado via CD</t>
        </is>
      </c>
      <c r="AK142" s="30" t="inlineStr">
        <is>
          <t>Excesso de Estoque</t>
        </is>
      </c>
    </row>
    <row r="143" ht="20" customHeight="1">
      <c r="A143" s="58" t="n">
        <v>14</v>
      </c>
      <c r="B143" s="58" t="n">
        <v>2799</v>
      </c>
      <c r="C143" s="59" t="inlineStr">
        <is>
          <t>FAROFA MANDIOCA YOKI 400G TRADICIONAL</t>
        </is>
      </c>
      <c r="D143" s="59" t="inlineStr">
        <is>
          <t>MERCEARIA</t>
        </is>
      </c>
      <c r="E143" s="59" t="inlineStr">
        <is>
          <t>MERCEARIA SECA</t>
        </is>
      </c>
      <c r="F143" s="59" t="inlineStr">
        <is>
          <t>NIDAL</t>
        </is>
      </c>
      <c r="G143" s="59" t="inlineStr">
        <is>
          <t>3527 - FABIANO ZAFFALON E CIA LTDA</t>
        </is>
      </c>
      <c r="H143" s="47" t="inlineStr">
        <is>
          <t>M</t>
        </is>
      </c>
      <c r="I143" s="58" t="n">
        <v>24</v>
      </c>
      <c r="J143" s="58" t="n">
        <v>24</v>
      </c>
      <c r="K143" s="60" t="n">
        <v>370</v>
      </c>
      <c r="L143" s="60" t="n">
        <v>370</v>
      </c>
      <c r="M143" s="60" t="n">
        <v>0</v>
      </c>
      <c r="N143" s="60" t="n">
        <v>36</v>
      </c>
      <c r="O143" s="60" t="n">
        <v>60</v>
      </c>
      <c r="P143" s="60" t="n">
        <v>120</v>
      </c>
      <c r="Q143" s="60" t="n">
        <v>240</v>
      </c>
      <c r="R143" s="58" t="n">
        <v>1</v>
      </c>
      <c r="S143" s="61" t="n">
        <v>156</v>
      </c>
      <c r="T143" s="61" t="n">
        <v>300</v>
      </c>
      <c r="U143" s="60" t="n">
        <v>576</v>
      </c>
      <c r="V143" s="60" t="n">
        <v>576</v>
      </c>
      <c r="W143" s="60" t="n">
        <v>0</v>
      </c>
      <c r="X143" s="60" t="n">
        <v>0</v>
      </c>
      <c r="Y143" s="60" t="n">
        <v>198</v>
      </c>
      <c r="Z143" s="62" t="n">
        <v>1655.82</v>
      </c>
      <c r="AA143" s="63" t="n">
        <v>6.6</v>
      </c>
      <c r="AB143" s="63" t="n">
        <v>56.1</v>
      </c>
      <c r="AC143" s="63" t="n">
        <v>143.3</v>
      </c>
      <c r="AD143" s="60" t="n">
        <v>0</v>
      </c>
      <c r="AE143" s="60" t="n">
        <v>0</v>
      </c>
      <c r="AF143" s="60" t="n">
        <v>0</v>
      </c>
      <c r="AG143" s="60" t="n">
        <v>0</v>
      </c>
      <c r="AH143" s="63" t="n">
        <v>56.1</v>
      </c>
      <c r="AI143" s="30" t="inlineStr">
        <is>
          <t>9 - EXCESSO DE ESTOQUE (&gt; MAXIMO)</t>
        </is>
      </c>
      <c r="AJ143" s="39" t="inlineStr">
        <is>
          <t>M - Centralizado via CD</t>
        </is>
      </c>
      <c r="AK143" s="30" t="inlineStr">
        <is>
          <t>Excesso de Estoque</t>
        </is>
      </c>
    </row>
    <row r="144" ht="20" customHeight="1">
      <c r="A144" s="45" t="n">
        <v>14</v>
      </c>
      <c r="B144" s="45" t="n">
        <v>17315</v>
      </c>
      <c r="C144" s="46" t="inlineStr">
        <is>
          <t>DESOD ROLLON REXONA 50ML V8</t>
        </is>
      </c>
      <c r="D144" s="46" t="inlineStr">
        <is>
          <t>PERFUMARIA E LIMPEZA</t>
        </is>
      </c>
      <c r="E144" s="46" t="inlineStr">
        <is>
          <t>PERFUMARIA</t>
        </is>
      </c>
      <c r="F144" s="46" t="inlineStr">
        <is>
          <t>BATISTA</t>
        </is>
      </c>
      <c r="G144" s="46" t="inlineStr">
        <is>
          <t>5894 - UNIDASUL DISTRIBUIDORA ALIMENTICIA S/A</t>
        </is>
      </c>
      <c r="H144" s="47" t="inlineStr">
        <is>
          <t>M</t>
        </is>
      </c>
      <c r="I144" s="45" t="n">
        <v>12</v>
      </c>
      <c r="J144" s="45" t="n">
        <v>12</v>
      </c>
      <c r="K144" s="48" t="n">
        <v>42</v>
      </c>
      <c r="L144" s="48" t="n">
        <v>42</v>
      </c>
      <c r="M144" s="48" t="n">
        <v>0</v>
      </c>
      <c r="N144" s="48" t="n">
        <v>22</v>
      </c>
      <c r="O144" s="48" t="n">
        <v>34</v>
      </c>
      <c r="P144" s="48" t="n">
        <v>0</v>
      </c>
      <c r="Q144" s="48" t="n">
        <v>0</v>
      </c>
      <c r="R144" s="45" t="n">
        <v>0</v>
      </c>
      <c r="S144" s="49" t="n">
        <v>22</v>
      </c>
      <c r="T144" s="49" t="n">
        <v>34</v>
      </c>
      <c r="U144" s="48" t="n">
        <v>1032</v>
      </c>
      <c r="V144" s="48" t="n">
        <v>1032</v>
      </c>
      <c r="W144" s="48" t="n">
        <v>0</v>
      </c>
      <c r="X144" s="48" t="n">
        <v>0</v>
      </c>
      <c r="Y144" s="48" t="n">
        <v>11</v>
      </c>
      <c r="Z144" s="50" t="n">
        <v>109.39</v>
      </c>
      <c r="AA144" s="51" t="n">
        <v>0.37</v>
      </c>
      <c r="AB144" s="51" t="n">
        <v>113.5</v>
      </c>
      <c r="AC144" s="51" t="n">
        <v>2902.7</v>
      </c>
      <c r="AD144" s="48" t="n">
        <v>0</v>
      </c>
      <c r="AE144" s="48" t="n">
        <v>0</v>
      </c>
      <c r="AF144" s="48" t="n">
        <v>0</v>
      </c>
      <c r="AG144" s="48" t="n">
        <v>0</v>
      </c>
      <c r="AH144" s="51" t="n">
        <v>113.5</v>
      </c>
      <c r="AI144" s="30" t="inlineStr">
        <is>
          <t>9 - EXCESSO DE ESTOQUE (&gt; MAXIMO)</t>
        </is>
      </c>
      <c r="AJ144" s="39" t="inlineStr">
        <is>
          <t>M - Centralizado via CD</t>
        </is>
      </c>
      <c r="AK144" s="30" t="inlineStr">
        <is>
          <t>Excesso de Estoque</t>
        </is>
      </c>
    </row>
    <row r="145" ht="20" customHeight="1">
      <c r="A145" s="52" t="n">
        <v>17</v>
      </c>
      <c r="B145" s="52" t="n">
        <v>2027</v>
      </c>
      <c r="C145" s="53" t="inlineStr">
        <is>
          <t>CAFE VACUO MELITTA 250G EXTRA FORTE</t>
        </is>
      </c>
      <c r="D145" s="53" t="inlineStr">
        <is>
          <t>MERCEARIA</t>
        </is>
      </c>
      <c r="E145" s="53" t="inlineStr">
        <is>
          <t>MERCEARIA SECA</t>
        </is>
      </c>
      <c r="F145" s="53" t="inlineStr">
        <is>
          <t>WERTER</t>
        </is>
      </c>
      <c r="G145" s="53" t="inlineStr">
        <is>
          <t>10368 - MELITTA DO BRASIL E COMERCIO LTDA.</t>
        </is>
      </c>
      <c r="H145" s="47" t="inlineStr">
        <is>
          <t>M</t>
        </is>
      </c>
      <c r="I145" s="52" t="n">
        <v>20</v>
      </c>
      <c r="J145" s="52" t="n">
        <v>20</v>
      </c>
      <c r="K145" s="54" t="n">
        <v>96</v>
      </c>
      <c r="L145" s="54" t="n">
        <v>96</v>
      </c>
      <c r="M145" s="54" t="n">
        <v>0</v>
      </c>
      <c r="N145" s="54" t="n">
        <v>30</v>
      </c>
      <c r="O145" s="54" t="n">
        <v>50</v>
      </c>
      <c r="P145" s="54" t="n">
        <v>0</v>
      </c>
      <c r="Q145" s="54" t="n">
        <v>0</v>
      </c>
      <c r="R145" s="52" t="n">
        <v>0</v>
      </c>
      <c r="S145" s="55" t="n">
        <v>30</v>
      </c>
      <c r="T145" s="55" t="n">
        <v>50</v>
      </c>
      <c r="U145" s="54" t="n">
        <v>180</v>
      </c>
      <c r="V145" s="54" t="n">
        <v>180</v>
      </c>
      <c r="W145" s="54" t="n">
        <v>0</v>
      </c>
      <c r="X145" s="54" t="n">
        <v>0</v>
      </c>
      <c r="Y145" s="54" t="n">
        <v>28</v>
      </c>
      <c r="Z145" s="56" t="n">
        <v>416.92</v>
      </c>
      <c r="AA145" s="57" t="n">
        <v>0.93</v>
      </c>
      <c r="AB145" s="57" t="n">
        <v>103.2</v>
      </c>
      <c r="AC145" s="57" t="n">
        <v>296.8</v>
      </c>
      <c r="AD145" s="54" t="n">
        <v>0</v>
      </c>
      <c r="AE145" s="54" t="n">
        <v>0</v>
      </c>
      <c r="AF145" s="54" t="n">
        <v>0</v>
      </c>
      <c r="AG145" s="54" t="n">
        <v>0</v>
      </c>
      <c r="AH145" s="57" t="n">
        <v>103.2</v>
      </c>
      <c r="AI145" s="30" t="inlineStr">
        <is>
          <t>9 - EXCESSO DE ESTOQUE (&gt; MAXIMO)</t>
        </is>
      </c>
      <c r="AJ145" s="39" t="inlineStr">
        <is>
          <t>M - Centralizado via CD</t>
        </is>
      </c>
      <c r="AK145" s="30" t="inlineStr">
        <is>
          <t>Excesso de Estoque</t>
        </is>
      </c>
    </row>
    <row r="146" ht="20" customHeight="1">
      <c r="A146" s="45" t="n">
        <v>17</v>
      </c>
      <c r="B146" s="45" t="n">
        <v>2028</v>
      </c>
      <c r="C146" s="46" t="inlineStr">
        <is>
          <t>CAFE VACUO MELITTA 250G TRAD</t>
        </is>
      </c>
      <c r="D146" s="46" t="inlineStr">
        <is>
          <t>MERCEARIA</t>
        </is>
      </c>
      <c r="E146" s="46" t="inlineStr">
        <is>
          <t>MERCEARIA SECA</t>
        </is>
      </c>
      <c r="F146" s="46" t="inlineStr">
        <is>
          <t>WERTER</t>
        </is>
      </c>
      <c r="G146" s="46" t="inlineStr">
        <is>
          <t>10368 - MELITTA DO BRASIL E COMERCIO LTDA.</t>
        </is>
      </c>
      <c r="H146" s="47" t="inlineStr">
        <is>
          <t>M</t>
        </is>
      </c>
      <c r="I146" s="45" t="n">
        <v>20</v>
      </c>
      <c r="J146" s="45" t="n">
        <v>20</v>
      </c>
      <c r="K146" s="48" t="n">
        <v>95</v>
      </c>
      <c r="L146" s="48" t="n">
        <v>95</v>
      </c>
      <c r="M146" s="48" t="n">
        <v>0</v>
      </c>
      <c r="N146" s="48" t="n">
        <v>50</v>
      </c>
      <c r="O146" s="48" t="n">
        <v>90</v>
      </c>
      <c r="P146" s="48" t="n">
        <v>0</v>
      </c>
      <c r="Q146" s="48" t="n">
        <v>0</v>
      </c>
      <c r="R146" s="45" t="n">
        <v>0</v>
      </c>
      <c r="S146" s="49" t="n">
        <v>50</v>
      </c>
      <c r="T146" s="49" t="n">
        <v>90</v>
      </c>
      <c r="U146" s="48" t="n">
        <v>1880</v>
      </c>
      <c r="V146" s="48" t="n">
        <v>1880</v>
      </c>
      <c r="W146" s="48" t="n">
        <v>0</v>
      </c>
      <c r="X146" s="48" t="n">
        <v>0</v>
      </c>
      <c r="Y146" s="48" t="n">
        <v>67</v>
      </c>
      <c r="Z146" s="50" t="n">
        <v>997.63</v>
      </c>
      <c r="AA146" s="51" t="n">
        <v>2.23</v>
      </c>
      <c r="AB146" s="51" t="n">
        <v>42.6</v>
      </c>
      <c r="AC146" s="51" t="n">
        <v>885.7</v>
      </c>
      <c r="AD146" s="48" t="n">
        <v>0</v>
      </c>
      <c r="AE146" s="48" t="n">
        <v>0</v>
      </c>
      <c r="AF146" s="48" t="n">
        <v>0</v>
      </c>
      <c r="AG146" s="48" t="n">
        <v>0</v>
      </c>
      <c r="AH146" s="51" t="n">
        <v>42.6</v>
      </c>
      <c r="AI146" s="30" t="inlineStr">
        <is>
          <t>9 - EXCESSO DE ESTOQUE (&gt; MAXIMO)</t>
        </is>
      </c>
      <c r="AJ146" s="39" t="inlineStr">
        <is>
          <t>M - Centralizado via CD</t>
        </is>
      </c>
      <c r="AK146" s="30" t="inlineStr">
        <is>
          <t>Excesso de Estoque</t>
        </is>
      </c>
    </row>
    <row r="147" ht="20" customHeight="1">
      <c r="A147" s="58" t="n">
        <v>17</v>
      </c>
      <c r="B147" s="58" t="n">
        <v>2799</v>
      </c>
      <c r="C147" s="59" t="inlineStr">
        <is>
          <t>FAROFA MANDIOCA YOKI 400G TRADICIONAL</t>
        </is>
      </c>
      <c r="D147" s="59" t="inlineStr">
        <is>
          <t>MERCEARIA</t>
        </is>
      </c>
      <c r="E147" s="59" t="inlineStr">
        <is>
          <t>MERCEARIA SECA</t>
        </is>
      </c>
      <c r="F147" s="59" t="inlineStr">
        <is>
          <t>NIDAL</t>
        </is>
      </c>
      <c r="G147" s="59" t="inlineStr">
        <is>
          <t>3527 - FABIANO ZAFFALON E CIA LTDA</t>
        </is>
      </c>
      <c r="H147" s="47" t="inlineStr">
        <is>
          <t>M</t>
        </is>
      </c>
      <c r="I147" s="58" t="n">
        <v>24</v>
      </c>
      <c r="J147" s="58" t="n">
        <v>24</v>
      </c>
      <c r="K147" s="60" t="n">
        <v>374</v>
      </c>
      <c r="L147" s="60" t="n">
        <v>374</v>
      </c>
      <c r="M147" s="60" t="n">
        <v>0</v>
      </c>
      <c r="N147" s="60" t="n">
        <v>72</v>
      </c>
      <c r="O147" s="60" t="n">
        <v>120</v>
      </c>
      <c r="P147" s="60" t="n">
        <v>120</v>
      </c>
      <c r="Q147" s="60" t="n">
        <v>240</v>
      </c>
      <c r="R147" s="58" t="n">
        <v>1</v>
      </c>
      <c r="S147" s="61" t="n">
        <v>192</v>
      </c>
      <c r="T147" s="61" t="n">
        <v>360</v>
      </c>
      <c r="U147" s="60" t="n">
        <v>576</v>
      </c>
      <c r="V147" s="60" t="n">
        <v>576</v>
      </c>
      <c r="W147" s="60" t="n">
        <v>0</v>
      </c>
      <c r="X147" s="60" t="n">
        <v>0</v>
      </c>
      <c r="Y147" s="60" t="n">
        <v>215</v>
      </c>
      <c r="Z147" s="62" t="n">
        <v>1806.95</v>
      </c>
      <c r="AA147" s="63" t="n">
        <v>7.17</v>
      </c>
      <c r="AB147" s="63" t="n">
        <v>52.2</v>
      </c>
      <c r="AC147" s="63" t="n">
        <v>132.5</v>
      </c>
      <c r="AD147" s="60" t="n">
        <v>0</v>
      </c>
      <c r="AE147" s="60" t="n">
        <v>0</v>
      </c>
      <c r="AF147" s="60" t="n">
        <v>0</v>
      </c>
      <c r="AG147" s="60" t="n">
        <v>0</v>
      </c>
      <c r="AH147" s="63" t="n">
        <v>52.2</v>
      </c>
      <c r="AI147" s="30" t="inlineStr">
        <is>
          <t>9 - EXCESSO DE ESTOQUE (&gt; MAXIMO)</t>
        </is>
      </c>
      <c r="AJ147" s="39" t="inlineStr">
        <is>
          <t>M - Centralizado via CD</t>
        </is>
      </c>
      <c r="AK147" s="30" t="inlineStr">
        <is>
          <t>Excesso de Estoque</t>
        </is>
      </c>
    </row>
    <row r="148" ht="20" customHeight="1">
      <c r="A148" s="45" t="n">
        <v>18</v>
      </c>
      <c r="B148" s="45" t="n">
        <v>853</v>
      </c>
      <c r="C148" s="46" t="inlineStr">
        <is>
          <t>REFRIG FANTA PET 600ML UVA</t>
        </is>
      </c>
      <c r="D148" s="46" t="inlineStr">
        <is>
          <t>BEBIDAS</t>
        </is>
      </c>
      <c r="E148" s="46" t="inlineStr">
        <is>
          <t>BEBIDA</t>
        </is>
      </c>
      <c r="F148" s="46" t="inlineStr">
        <is>
          <t>NICOLAS</t>
        </is>
      </c>
      <c r="G148" s="46" t="inlineStr">
        <is>
          <t>15441 - SPAL IND BRAS BEBIDAS AS</t>
        </is>
      </c>
      <c r="H148" s="47" t="inlineStr">
        <is>
          <t>M</t>
        </is>
      </c>
      <c r="I148" s="45" t="n">
        <v>6</v>
      </c>
      <c r="J148" s="45" t="n">
        <v>6</v>
      </c>
      <c r="K148" s="48" t="n">
        <v>73</v>
      </c>
      <c r="L148" s="48" t="n">
        <v>73</v>
      </c>
      <c r="M148" s="48" t="n">
        <v>0</v>
      </c>
      <c r="N148" s="48" t="n">
        <v>36</v>
      </c>
      <c r="O148" s="48" t="n">
        <v>60</v>
      </c>
      <c r="P148" s="48" t="n">
        <v>0</v>
      </c>
      <c r="Q148" s="48" t="n">
        <v>0</v>
      </c>
      <c r="R148" s="45" t="n">
        <v>0</v>
      </c>
      <c r="S148" s="49" t="n">
        <v>36</v>
      </c>
      <c r="T148" s="49" t="n">
        <v>60</v>
      </c>
      <c r="U148" s="48" t="n">
        <v>0</v>
      </c>
      <c r="V148" s="48" t="n">
        <v>0</v>
      </c>
      <c r="W148" s="48" t="n">
        <v>0</v>
      </c>
      <c r="X148" s="48" t="n">
        <v>0</v>
      </c>
      <c r="Y148" s="48" t="n">
        <v>24</v>
      </c>
      <c r="Z148" s="50" t="n">
        <v>103.76</v>
      </c>
      <c r="AA148" s="51" t="n">
        <v>0.8</v>
      </c>
      <c r="AB148" s="51" t="n">
        <v>91.3</v>
      </c>
      <c r="AC148" s="51" t="n">
        <v>91.3</v>
      </c>
      <c r="AD148" s="48" t="n">
        <v>156</v>
      </c>
      <c r="AE148" s="48" t="n">
        <v>0</v>
      </c>
      <c r="AF148" s="48" t="n">
        <v>0</v>
      </c>
      <c r="AG148" s="48" t="n">
        <v>156</v>
      </c>
      <c r="AH148" s="51" t="n">
        <v>286.3</v>
      </c>
      <c r="AI148" s="30" t="inlineStr">
        <is>
          <t>9 - EXCESSO DE ESTOQUE (&gt; MAXIMO)</t>
        </is>
      </c>
      <c r="AJ148" s="39" t="inlineStr">
        <is>
          <t>M - Centralizado via CD</t>
        </is>
      </c>
      <c r="AK148" s="30" t="inlineStr">
        <is>
          <t>Excesso de Estoque</t>
        </is>
      </c>
    </row>
    <row r="149" ht="20" customHeight="1">
      <c r="A149" s="52" t="n">
        <v>18</v>
      </c>
      <c r="B149" s="52" t="n">
        <v>2027</v>
      </c>
      <c r="C149" s="53" t="inlineStr">
        <is>
          <t>CAFE VACUO MELITTA 250G EXTRA FORTE</t>
        </is>
      </c>
      <c r="D149" s="53" t="inlineStr">
        <is>
          <t>MERCEARIA</t>
        </is>
      </c>
      <c r="E149" s="53" t="inlineStr">
        <is>
          <t>MERCEARIA SECA</t>
        </is>
      </c>
      <c r="F149" s="53" t="inlineStr">
        <is>
          <t>WERTER</t>
        </is>
      </c>
      <c r="G149" s="53" t="inlineStr">
        <is>
          <t>10368 - MELITTA DO BRASIL E COMERCIO LTDA.</t>
        </is>
      </c>
      <c r="H149" s="47" t="inlineStr">
        <is>
          <t>M</t>
        </is>
      </c>
      <c r="I149" s="52" t="n">
        <v>20</v>
      </c>
      <c r="J149" s="52" t="n">
        <v>20</v>
      </c>
      <c r="K149" s="54" t="n">
        <v>88</v>
      </c>
      <c r="L149" s="54" t="n">
        <v>88</v>
      </c>
      <c r="M149" s="54" t="n">
        <v>0</v>
      </c>
      <c r="N149" s="54" t="n">
        <v>30</v>
      </c>
      <c r="O149" s="54" t="n">
        <v>50</v>
      </c>
      <c r="P149" s="54" t="n">
        <v>0</v>
      </c>
      <c r="Q149" s="54" t="n">
        <v>0</v>
      </c>
      <c r="R149" s="52" t="n">
        <v>0</v>
      </c>
      <c r="S149" s="55" t="n">
        <v>30</v>
      </c>
      <c r="T149" s="55" t="n">
        <v>50</v>
      </c>
      <c r="U149" s="54" t="n">
        <v>180</v>
      </c>
      <c r="V149" s="54" t="n">
        <v>180</v>
      </c>
      <c r="W149" s="54" t="n">
        <v>0</v>
      </c>
      <c r="X149" s="54" t="n">
        <v>0</v>
      </c>
      <c r="Y149" s="54" t="n">
        <v>33</v>
      </c>
      <c r="Z149" s="56" t="n">
        <v>491.37</v>
      </c>
      <c r="AA149" s="57" t="n">
        <v>1.1</v>
      </c>
      <c r="AB149" s="57" t="n">
        <v>80</v>
      </c>
      <c r="AC149" s="57" t="n">
        <v>243.6</v>
      </c>
      <c r="AD149" s="54" t="n">
        <v>0</v>
      </c>
      <c r="AE149" s="54" t="n">
        <v>0</v>
      </c>
      <c r="AF149" s="54" t="n">
        <v>0</v>
      </c>
      <c r="AG149" s="54" t="n">
        <v>0</v>
      </c>
      <c r="AH149" s="57" t="n">
        <v>80</v>
      </c>
      <c r="AI149" s="30" t="inlineStr">
        <is>
          <t>9 - EXCESSO DE ESTOQUE (&gt; MAXIMO)</t>
        </is>
      </c>
      <c r="AJ149" s="39" t="inlineStr">
        <is>
          <t>M - Centralizado via CD</t>
        </is>
      </c>
      <c r="AK149" s="30" t="inlineStr">
        <is>
          <t>Excesso de Estoque</t>
        </is>
      </c>
    </row>
    <row r="150" ht="20" customHeight="1">
      <c r="A150" s="45" t="n">
        <v>18</v>
      </c>
      <c r="B150" s="45" t="n">
        <v>2028</v>
      </c>
      <c r="C150" s="46" t="inlineStr">
        <is>
          <t>CAFE VACUO MELITTA 250G TRAD</t>
        </is>
      </c>
      <c r="D150" s="46" t="inlineStr">
        <is>
          <t>MERCEARIA</t>
        </is>
      </c>
      <c r="E150" s="46" t="inlineStr">
        <is>
          <t>MERCEARIA SECA</t>
        </is>
      </c>
      <c r="F150" s="46" t="inlineStr">
        <is>
          <t>WERTER</t>
        </is>
      </c>
      <c r="G150" s="46" t="inlineStr">
        <is>
          <t>10368 - MELITTA DO BRASIL E COMERCIO LTDA.</t>
        </is>
      </c>
      <c r="H150" s="47" t="inlineStr">
        <is>
          <t>M</t>
        </is>
      </c>
      <c r="I150" s="45" t="n">
        <v>20</v>
      </c>
      <c r="J150" s="45" t="n">
        <v>20</v>
      </c>
      <c r="K150" s="48" t="n">
        <v>134</v>
      </c>
      <c r="L150" s="48" t="n">
        <v>134</v>
      </c>
      <c r="M150" s="48" t="n">
        <v>0</v>
      </c>
      <c r="N150" s="48" t="n">
        <v>50</v>
      </c>
      <c r="O150" s="48" t="n">
        <v>90</v>
      </c>
      <c r="P150" s="48" t="n">
        <v>0</v>
      </c>
      <c r="Q150" s="48" t="n">
        <v>0</v>
      </c>
      <c r="R150" s="45" t="n">
        <v>0</v>
      </c>
      <c r="S150" s="49" t="n">
        <v>50</v>
      </c>
      <c r="T150" s="49" t="n">
        <v>90</v>
      </c>
      <c r="U150" s="48" t="n">
        <v>1880</v>
      </c>
      <c r="V150" s="48" t="n">
        <v>1880</v>
      </c>
      <c r="W150" s="48" t="n">
        <v>0</v>
      </c>
      <c r="X150" s="48" t="n">
        <v>0</v>
      </c>
      <c r="Y150" s="48" t="n">
        <v>81</v>
      </c>
      <c r="Z150" s="50" t="n">
        <v>1206.09</v>
      </c>
      <c r="AA150" s="51" t="n">
        <v>2.7</v>
      </c>
      <c r="AB150" s="51" t="n">
        <v>49.6</v>
      </c>
      <c r="AC150" s="51" t="n">
        <v>745.9</v>
      </c>
      <c r="AD150" s="48" t="n">
        <v>0</v>
      </c>
      <c r="AE150" s="48" t="n">
        <v>0</v>
      </c>
      <c r="AF150" s="48" t="n">
        <v>0</v>
      </c>
      <c r="AG150" s="48" t="n">
        <v>0</v>
      </c>
      <c r="AH150" s="51" t="n">
        <v>49.6</v>
      </c>
      <c r="AI150" s="30" t="inlineStr">
        <is>
          <t>9 - EXCESSO DE ESTOQUE (&gt; MAXIMO)</t>
        </is>
      </c>
      <c r="AJ150" s="39" t="inlineStr">
        <is>
          <t>M - Centralizado via CD</t>
        </is>
      </c>
      <c r="AK150" s="30" t="inlineStr">
        <is>
          <t>Excesso de Estoque</t>
        </is>
      </c>
    </row>
    <row r="151" ht="20" customHeight="1">
      <c r="A151" s="52" t="n">
        <v>18</v>
      </c>
      <c r="B151" s="52" t="n">
        <v>2020</v>
      </c>
      <c r="C151" s="53" t="inlineStr">
        <is>
          <t>CAFE VACUO MELITTA 500G EXTRA FORTE</t>
        </is>
      </c>
      <c r="D151" s="53" t="inlineStr">
        <is>
          <t>MERCEARIA</t>
        </is>
      </c>
      <c r="E151" s="53" t="inlineStr">
        <is>
          <t>MERCEARIA SECA</t>
        </is>
      </c>
      <c r="F151" s="53" t="inlineStr">
        <is>
          <t>WERTER</t>
        </is>
      </c>
      <c r="G151" s="53" t="inlineStr">
        <is>
          <t>10368 - MELITTA DO BRASIL E COMERCIO LTDA.</t>
        </is>
      </c>
      <c r="H151" s="47" t="inlineStr">
        <is>
          <t>M</t>
        </is>
      </c>
      <c r="I151" s="52" t="n">
        <v>20</v>
      </c>
      <c r="J151" s="52" t="n">
        <v>20</v>
      </c>
      <c r="K151" s="54" t="n">
        <v>125</v>
      </c>
      <c r="L151" s="54" t="n">
        <v>125</v>
      </c>
      <c r="M151" s="54" t="n">
        <v>0</v>
      </c>
      <c r="N151" s="54" t="n">
        <v>36</v>
      </c>
      <c r="O151" s="54" t="n">
        <v>56</v>
      </c>
      <c r="P151" s="54" t="n">
        <v>0</v>
      </c>
      <c r="Q151" s="54" t="n">
        <v>0</v>
      </c>
      <c r="R151" s="52" t="n">
        <v>0</v>
      </c>
      <c r="S151" s="55" t="n">
        <v>36</v>
      </c>
      <c r="T151" s="55" t="n">
        <v>56</v>
      </c>
      <c r="U151" s="54" t="n">
        <v>401</v>
      </c>
      <c r="V151" s="54" t="n">
        <v>400</v>
      </c>
      <c r="W151" s="54" t="n">
        <v>0</v>
      </c>
      <c r="X151" s="54" t="n">
        <v>1</v>
      </c>
      <c r="Y151" s="54" t="n">
        <v>25</v>
      </c>
      <c r="Z151" s="56" t="n">
        <v>674.51</v>
      </c>
      <c r="AA151" s="57" t="n">
        <v>0.83</v>
      </c>
      <c r="AB151" s="57" t="n">
        <v>150.6</v>
      </c>
      <c r="AC151" s="57" t="n">
        <v>633.7</v>
      </c>
      <c r="AD151" s="54" t="n">
        <v>0</v>
      </c>
      <c r="AE151" s="54" t="n">
        <v>0</v>
      </c>
      <c r="AF151" s="54" t="n">
        <v>0</v>
      </c>
      <c r="AG151" s="54" t="n">
        <v>0</v>
      </c>
      <c r="AH151" s="57" t="n">
        <v>150.6</v>
      </c>
      <c r="AI151" s="30" t="inlineStr">
        <is>
          <t>9 - EXCESSO DE ESTOQUE (&gt; MAXIMO)</t>
        </is>
      </c>
      <c r="AJ151" s="39" t="inlineStr">
        <is>
          <t>M - Centralizado via CD</t>
        </is>
      </c>
      <c r="AK151" s="30" t="inlineStr">
        <is>
          <t>Excesso de Estoque</t>
        </is>
      </c>
    </row>
    <row r="152" ht="20" customHeight="1">
      <c r="A152" s="58" t="n">
        <v>18</v>
      </c>
      <c r="B152" s="58" t="n">
        <v>2799</v>
      </c>
      <c r="C152" s="59" t="inlineStr">
        <is>
          <t>FAROFA MANDIOCA YOKI 400G TRADICIONAL</t>
        </is>
      </c>
      <c r="D152" s="59" t="inlineStr">
        <is>
          <t>MERCEARIA</t>
        </is>
      </c>
      <c r="E152" s="59" t="inlineStr">
        <is>
          <t>MERCEARIA SECA</t>
        </is>
      </c>
      <c r="F152" s="59" t="inlineStr">
        <is>
          <t>NIDAL</t>
        </is>
      </c>
      <c r="G152" s="59" t="inlineStr">
        <is>
          <t>3527 - FABIANO ZAFFALON E CIA LTDA</t>
        </is>
      </c>
      <c r="H152" s="47" t="inlineStr">
        <is>
          <t>M</t>
        </is>
      </c>
      <c r="I152" s="58" t="n">
        <v>24</v>
      </c>
      <c r="J152" s="58" t="n">
        <v>24</v>
      </c>
      <c r="K152" s="60" t="n">
        <v>504</v>
      </c>
      <c r="L152" s="60" t="n">
        <v>504</v>
      </c>
      <c r="M152" s="60" t="n">
        <v>0</v>
      </c>
      <c r="N152" s="60" t="n">
        <v>72</v>
      </c>
      <c r="O152" s="60" t="n">
        <v>120</v>
      </c>
      <c r="P152" s="60" t="n">
        <v>240</v>
      </c>
      <c r="Q152" s="60" t="n">
        <v>360</v>
      </c>
      <c r="R152" s="58" t="n">
        <v>1</v>
      </c>
      <c r="S152" s="61" t="n">
        <v>312</v>
      </c>
      <c r="T152" s="61" t="n">
        <v>480</v>
      </c>
      <c r="U152" s="60" t="n">
        <v>576</v>
      </c>
      <c r="V152" s="60" t="n">
        <v>576</v>
      </c>
      <c r="W152" s="60" t="n">
        <v>0</v>
      </c>
      <c r="X152" s="60" t="n">
        <v>0</v>
      </c>
      <c r="Y152" s="60" t="n">
        <v>135</v>
      </c>
      <c r="Z152" s="62" t="n">
        <v>1081.49</v>
      </c>
      <c r="AA152" s="63" t="n">
        <v>4.5</v>
      </c>
      <c r="AB152" s="63" t="n">
        <v>112</v>
      </c>
      <c r="AC152" s="63" t="n">
        <v>240</v>
      </c>
      <c r="AD152" s="60" t="n">
        <v>0</v>
      </c>
      <c r="AE152" s="60" t="n">
        <v>0</v>
      </c>
      <c r="AF152" s="60" t="n">
        <v>0</v>
      </c>
      <c r="AG152" s="60" t="n">
        <v>0</v>
      </c>
      <c r="AH152" s="63" t="n">
        <v>112</v>
      </c>
      <c r="AI152" s="30" t="inlineStr">
        <is>
          <t>9 - EXCESSO DE ESTOQUE (&gt; MAXIMO)</t>
        </is>
      </c>
      <c r="AJ152" s="39" t="inlineStr">
        <is>
          <t>M - Centralizado via CD</t>
        </is>
      </c>
      <c r="AK152" s="30" t="inlineStr">
        <is>
          <t>Excesso de Estoque</t>
        </is>
      </c>
    </row>
  </sheetData>
  <autoFilter ref="A1:AK15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6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38" customWidth="1" min="3" max="3"/>
    <col width="22" customWidth="1" min="4" max="4"/>
    <col width="16" customWidth="1" min="5" max="5"/>
    <col width="36" customWidth="1" min="6" max="6"/>
    <col width="10" customWidth="1" min="7" max="7"/>
    <col width="14" customWidth="1" min="8" max="8"/>
    <col width="16" customWidth="1" min="9" max="9"/>
    <col width="20" customWidth="1" min="10" max="10"/>
    <col width="14" customWidth="1" min="11" max="11"/>
    <col width="16" customWidth="1" min="12" max="12"/>
    <col width="20" customWidth="1" min="13" max="13"/>
    <col width="18" customWidth="1" min="14" max="14"/>
    <col width="35" customWidth="1" min="15" max="15"/>
  </cols>
  <sheetData>
    <row r="1" ht="28" customHeight="1">
      <c r="A1" s="64" t="inlineStr">
        <is>
          <t>DECOMPOSIÇÃO COMPLETA: MÍNIMO / MÁXIMO PADRÃO + PONTO EXTRA = TOTAL</t>
        </is>
      </c>
    </row>
    <row r="2" ht="24" customHeight="1">
      <c r="A2" s="65" t="inlineStr">
        <is>
          <t>Loja</t>
        </is>
      </c>
      <c r="B2" s="65" t="inlineStr">
        <is>
          <t>Cód. Produto</t>
        </is>
      </c>
      <c r="C2" s="65" t="inlineStr">
        <is>
          <t>Descrição do Produto</t>
        </is>
      </c>
      <c r="D2" s="65" t="inlineStr">
        <is>
          <t>Abastecimento</t>
        </is>
      </c>
      <c r="E2" s="65" t="inlineStr">
        <is>
          <t>Comprador</t>
        </is>
      </c>
      <c r="F2" s="65" t="inlineStr">
        <is>
          <t>Fornecedor Principal</t>
        </is>
      </c>
      <c r="G2" s="65" t="inlineStr">
        <is>
          <t>Qtd PEs</t>
        </is>
      </c>
      <c r="H2" s="65" t="inlineStr">
        <is>
          <t>Mín. Padrão</t>
        </is>
      </c>
      <c r="I2" s="65" t="inlineStr">
        <is>
          <t>Mín. Ponto Extra</t>
        </is>
      </c>
      <c r="J2" s="65" t="inlineStr">
        <is>
          <t>Mín. Total (=Pad+PE)</t>
        </is>
      </c>
      <c r="K2" s="65" t="inlineStr">
        <is>
          <t>Máx. Padrão</t>
        </is>
      </c>
      <c r="L2" s="65" t="inlineStr">
        <is>
          <t>Máx. Ponto Extra</t>
        </is>
      </c>
      <c r="M2" s="65" t="inlineStr">
        <is>
          <t>Máx. Total (=Pad+PE)</t>
        </is>
      </c>
      <c r="N2" s="65" t="inlineStr">
        <is>
          <t>Estoque Físico Loja</t>
        </is>
      </c>
      <c r="O2" s="65" t="inlineStr">
        <is>
          <t>Status de Ruptura</t>
        </is>
      </c>
    </row>
    <row r="3" ht="20" customHeight="1">
      <c r="A3" s="66" t="inlineStr">
        <is>
          <t>Loja 2</t>
        </is>
      </c>
      <c r="B3" s="66" t="n">
        <v>2799</v>
      </c>
      <c r="C3" s="67" t="inlineStr">
        <is>
          <t>FAROFA MANDIOCA YOKI 400G TRADICIONAL</t>
        </is>
      </c>
      <c r="D3" s="47" t="inlineStr">
        <is>
          <t>M - Centralizado via CD</t>
        </is>
      </c>
      <c r="E3" s="67" t="inlineStr">
        <is>
          <t>NIDAL</t>
        </is>
      </c>
      <c r="F3" s="67" t="inlineStr">
        <is>
          <t>3527 - FABIANO ZAFFALON E CIA LTDA</t>
        </is>
      </c>
      <c r="G3" s="68" t="n">
        <v>1</v>
      </c>
      <c r="H3" s="69" t="n">
        <v>102</v>
      </c>
      <c r="I3" s="28" t="n">
        <v>240</v>
      </c>
      <c r="J3" s="21">
        <f>H3+I3</f>
        <v/>
      </c>
      <c r="K3" s="69" t="n">
        <v>150</v>
      </c>
      <c r="L3" s="28" t="n">
        <v>360</v>
      </c>
      <c r="M3" s="21">
        <f>K3+L3</f>
        <v/>
      </c>
      <c r="N3" s="21" t="n">
        <v>337</v>
      </c>
      <c r="O3" s="70" t="inlineStr">
        <is>
          <t>6 - ABAIXO DO MINIMO (COM PEDIDO/TRANSITO A CAMINHO)</t>
        </is>
      </c>
    </row>
    <row r="4" ht="20" customHeight="1">
      <c r="A4" s="66" t="inlineStr">
        <is>
          <t>Loja 11</t>
        </is>
      </c>
      <c r="B4" s="66" t="n">
        <v>2799</v>
      </c>
      <c r="C4" s="67" t="inlineStr">
        <is>
          <t>FAROFA MANDIOCA YOKI 400G TRADICIONAL</t>
        </is>
      </c>
      <c r="D4" s="47" t="inlineStr">
        <is>
          <t>M - Centralizado via CD</t>
        </is>
      </c>
      <c r="E4" s="67" t="inlineStr">
        <is>
          <t>NIDAL</t>
        </is>
      </c>
      <c r="F4" s="67" t="inlineStr">
        <is>
          <t>3527 - FABIANO ZAFFALON E CIA LTDA</t>
        </is>
      </c>
      <c r="G4" s="68" t="n">
        <v>1</v>
      </c>
      <c r="H4" s="69" t="n">
        <v>102</v>
      </c>
      <c r="I4" s="28" t="n">
        <v>240</v>
      </c>
      <c r="J4" s="21">
        <f>H4+I4</f>
        <v/>
      </c>
      <c r="K4" s="69" t="n">
        <v>150</v>
      </c>
      <c r="L4" s="28" t="n">
        <v>360</v>
      </c>
      <c r="M4" s="21">
        <f>K4+L4</f>
        <v/>
      </c>
      <c r="N4" s="21" t="n">
        <v>306</v>
      </c>
      <c r="O4" s="70" t="inlineStr">
        <is>
          <t>6 - ABAIXO DO MINIMO (COM PEDIDO/TRANSITO A CAMINHO)</t>
        </is>
      </c>
    </row>
    <row r="5" ht="20" customHeight="1">
      <c r="A5" s="66" t="inlineStr">
        <is>
          <t>Loja 12</t>
        </is>
      </c>
      <c r="B5" s="66" t="n">
        <v>2799</v>
      </c>
      <c r="C5" s="67" t="inlineStr">
        <is>
          <t>FAROFA MANDIOCA YOKI 400G TRADICIONAL</t>
        </is>
      </c>
      <c r="D5" s="47" t="inlineStr">
        <is>
          <t>M - Centralizado via CD</t>
        </is>
      </c>
      <c r="E5" s="67" t="inlineStr">
        <is>
          <t>NIDAL</t>
        </is>
      </c>
      <c r="F5" s="67" t="inlineStr">
        <is>
          <t>3527 - FABIANO ZAFFALON E CIA LTDA</t>
        </is>
      </c>
      <c r="G5" s="68" t="n">
        <v>1</v>
      </c>
      <c r="H5" s="69" t="n">
        <v>66</v>
      </c>
      <c r="I5" s="28" t="n">
        <v>240</v>
      </c>
      <c r="J5" s="21">
        <f>H5+I5</f>
        <v/>
      </c>
      <c r="K5" s="69" t="n">
        <v>90</v>
      </c>
      <c r="L5" s="28" t="n">
        <v>360</v>
      </c>
      <c r="M5" s="21">
        <f>K5+L5</f>
        <v/>
      </c>
      <c r="N5" s="21" t="n">
        <v>305</v>
      </c>
      <c r="O5" s="70" t="inlineStr">
        <is>
          <t>6 - ABAIXO DO MINIMO (COM PEDIDO/TRANSITO A CAMINHO)</t>
        </is>
      </c>
    </row>
    <row r="6" ht="20" customHeight="1">
      <c r="A6" s="66" t="inlineStr">
        <is>
          <t>Loja 3</t>
        </is>
      </c>
      <c r="B6" s="66" t="n">
        <v>812</v>
      </c>
      <c r="C6" s="67" t="inlineStr">
        <is>
          <t>REFRIG FANTA UVA PET 2L</t>
        </is>
      </c>
      <c r="D6" s="47" t="inlineStr">
        <is>
          <t>M - Centralizado via CD</t>
        </is>
      </c>
      <c r="E6" s="67" t="inlineStr">
        <is>
          <t>NICOLAS</t>
        </is>
      </c>
      <c r="F6" s="67" t="inlineStr">
        <is>
          <t>15441 - SPAL IND BRAS BEBIDAS AS</t>
        </is>
      </c>
      <c r="G6" s="68" t="n">
        <v>1</v>
      </c>
      <c r="H6" s="69" t="n">
        <v>26</v>
      </c>
      <c r="I6" s="28" t="n">
        <v>600</v>
      </c>
      <c r="J6" s="21">
        <f>H6+I6</f>
        <v/>
      </c>
      <c r="K6" s="69" t="n">
        <v>34</v>
      </c>
      <c r="L6" s="28" t="n">
        <v>780</v>
      </c>
      <c r="M6" s="21">
        <f>K6+L6</f>
        <v/>
      </c>
      <c r="N6" s="21" t="n">
        <v>733</v>
      </c>
      <c r="O6" s="71" t="inlineStr">
        <is>
          <t>8 - REGULAR / NORMAL</t>
        </is>
      </c>
    </row>
    <row r="7" ht="20" customHeight="1">
      <c r="A7" s="66" t="inlineStr">
        <is>
          <t>Loja 3</t>
        </is>
      </c>
      <c r="B7" s="66" t="n">
        <v>2799</v>
      </c>
      <c r="C7" s="67" t="inlineStr">
        <is>
          <t>FAROFA MANDIOCA YOKI 400G TRADICIONAL</t>
        </is>
      </c>
      <c r="D7" s="47" t="inlineStr">
        <is>
          <t>M - Centralizado via CD</t>
        </is>
      </c>
      <c r="E7" s="67" t="inlineStr">
        <is>
          <t>NIDAL</t>
        </is>
      </c>
      <c r="F7" s="67" t="inlineStr">
        <is>
          <t>3527 - FABIANO ZAFFALON E CIA LTDA</t>
        </is>
      </c>
      <c r="G7" s="68" t="n">
        <v>1</v>
      </c>
      <c r="H7" s="69" t="n">
        <v>102</v>
      </c>
      <c r="I7" s="28" t="n">
        <v>240</v>
      </c>
      <c r="J7" s="21">
        <f>H7+I7</f>
        <v/>
      </c>
      <c r="K7" s="69" t="n">
        <v>150</v>
      </c>
      <c r="L7" s="28" t="n">
        <v>360</v>
      </c>
      <c r="M7" s="21">
        <f>K7+L7</f>
        <v/>
      </c>
      <c r="N7" s="21" t="n">
        <v>509</v>
      </c>
      <c r="O7" s="71" t="inlineStr">
        <is>
          <t>8 - REGULAR / NORMAL</t>
        </is>
      </c>
    </row>
    <row r="8" ht="20" customHeight="1">
      <c r="A8" s="66" t="inlineStr">
        <is>
          <t>Loja 4</t>
        </is>
      </c>
      <c r="B8" s="66" t="n">
        <v>2799</v>
      </c>
      <c r="C8" s="67" t="inlineStr">
        <is>
          <t>FAROFA MANDIOCA YOKI 400G TRADICIONAL</t>
        </is>
      </c>
      <c r="D8" s="47" t="inlineStr">
        <is>
          <t>M - Centralizado via CD</t>
        </is>
      </c>
      <c r="E8" s="67" t="inlineStr">
        <is>
          <t>NIDAL</t>
        </is>
      </c>
      <c r="F8" s="67" t="inlineStr">
        <is>
          <t>3527 - FABIANO ZAFFALON E CIA LTDA</t>
        </is>
      </c>
      <c r="G8" s="68" t="n">
        <v>1</v>
      </c>
      <c r="H8" s="69" t="n">
        <v>36</v>
      </c>
      <c r="I8" s="28" t="n">
        <v>120</v>
      </c>
      <c r="J8" s="21">
        <f>H8+I8</f>
        <v/>
      </c>
      <c r="K8" s="69" t="n">
        <v>60</v>
      </c>
      <c r="L8" s="28" t="n">
        <v>240</v>
      </c>
      <c r="M8" s="21">
        <f>K8+L8</f>
        <v/>
      </c>
      <c r="N8" s="21" t="n">
        <v>220</v>
      </c>
      <c r="O8" s="71" t="inlineStr">
        <is>
          <t>8 - REGULAR / NORMAL</t>
        </is>
      </c>
    </row>
    <row r="9" ht="20" customHeight="1">
      <c r="A9" s="66" t="inlineStr">
        <is>
          <t>Loja 5</t>
        </is>
      </c>
      <c r="B9" s="66" t="n">
        <v>2799</v>
      </c>
      <c r="C9" s="67" t="inlineStr">
        <is>
          <t>FAROFA MANDIOCA YOKI 400G TRADICIONAL</t>
        </is>
      </c>
      <c r="D9" s="47" t="inlineStr">
        <is>
          <t>M - Centralizado via CD</t>
        </is>
      </c>
      <c r="E9" s="67" t="inlineStr">
        <is>
          <t>NIDAL</t>
        </is>
      </c>
      <c r="F9" s="67" t="inlineStr">
        <is>
          <t>3527 - FABIANO ZAFFALON E CIA LTDA</t>
        </is>
      </c>
      <c r="G9" s="68" t="n">
        <v>1</v>
      </c>
      <c r="H9" s="69" t="n">
        <v>16</v>
      </c>
      <c r="I9" s="28" t="n">
        <v>120</v>
      </c>
      <c r="J9" s="21">
        <f>H9+I9</f>
        <v/>
      </c>
      <c r="K9" s="69" t="n">
        <v>40</v>
      </c>
      <c r="L9" s="28" t="n">
        <v>240</v>
      </c>
      <c r="M9" s="21">
        <f>K9+L9</f>
        <v/>
      </c>
      <c r="N9" s="21" t="n">
        <v>169</v>
      </c>
      <c r="O9" s="71" t="inlineStr">
        <is>
          <t>8 - REGULAR / NORMAL</t>
        </is>
      </c>
    </row>
    <row r="10" ht="20" customHeight="1">
      <c r="A10" s="66" t="inlineStr">
        <is>
          <t>Loja 6</t>
        </is>
      </c>
      <c r="B10" s="66" t="n">
        <v>2799</v>
      </c>
      <c r="C10" s="67" t="inlineStr">
        <is>
          <t>FAROFA MANDIOCA YOKI 400G TRADICIONAL</t>
        </is>
      </c>
      <c r="D10" s="47" t="inlineStr">
        <is>
          <t>M - Centralizado via CD</t>
        </is>
      </c>
      <c r="E10" s="67" t="inlineStr">
        <is>
          <t>NIDAL</t>
        </is>
      </c>
      <c r="F10" s="67" t="inlineStr">
        <is>
          <t>3527 - FABIANO ZAFFALON E CIA LTDA</t>
        </is>
      </c>
      <c r="G10" s="68" t="n">
        <v>1</v>
      </c>
      <c r="H10" s="69" t="n">
        <v>102</v>
      </c>
      <c r="I10" s="28" t="n">
        <v>240</v>
      </c>
      <c r="J10" s="21">
        <f>H10+I10</f>
        <v/>
      </c>
      <c r="K10" s="69" t="n">
        <v>150</v>
      </c>
      <c r="L10" s="28" t="n">
        <v>360</v>
      </c>
      <c r="M10" s="21">
        <f>K10+L10</f>
        <v/>
      </c>
      <c r="N10" s="21" t="n">
        <v>352</v>
      </c>
      <c r="O10" s="71" t="inlineStr">
        <is>
          <t>8 - REGULAR / NORMAL</t>
        </is>
      </c>
    </row>
    <row r="11" ht="20" customHeight="1">
      <c r="A11" s="66" t="inlineStr">
        <is>
          <t>Loja 7</t>
        </is>
      </c>
      <c r="B11" s="66" t="n">
        <v>2799</v>
      </c>
      <c r="C11" s="67" t="inlineStr">
        <is>
          <t>FAROFA MANDIOCA YOKI 400G TRADICIONAL</t>
        </is>
      </c>
      <c r="D11" s="47" t="inlineStr">
        <is>
          <t>M - Centralizado via CD</t>
        </is>
      </c>
      <c r="E11" s="67" t="inlineStr">
        <is>
          <t>NIDAL</t>
        </is>
      </c>
      <c r="F11" s="67" t="inlineStr">
        <is>
          <t>3527 - FABIANO ZAFFALON E CIA LTDA</t>
        </is>
      </c>
      <c r="G11" s="68" t="n">
        <v>1</v>
      </c>
      <c r="H11" s="69" t="n">
        <v>36</v>
      </c>
      <c r="I11" s="28" t="n">
        <v>120</v>
      </c>
      <c r="J11" s="21">
        <f>H11+I11</f>
        <v/>
      </c>
      <c r="K11" s="69" t="n">
        <v>60</v>
      </c>
      <c r="L11" s="28" t="n">
        <v>240</v>
      </c>
      <c r="M11" s="21">
        <f>K11+L11</f>
        <v/>
      </c>
      <c r="N11" s="21" t="n">
        <v>266</v>
      </c>
      <c r="O11" s="71" t="inlineStr">
        <is>
          <t>8 - REGULAR / NORMAL</t>
        </is>
      </c>
    </row>
    <row r="12" ht="20" customHeight="1">
      <c r="A12" s="66" t="inlineStr">
        <is>
          <t>Loja 13</t>
        </is>
      </c>
      <c r="B12" s="66" t="n">
        <v>2799</v>
      </c>
      <c r="C12" s="67" t="inlineStr">
        <is>
          <t>FAROFA MANDIOCA YOKI 400G TRADICIONAL</t>
        </is>
      </c>
      <c r="D12" s="47" t="inlineStr">
        <is>
          <t>M - Centralizado via CD</t>
        </is>
      </c>
      <c r="E12" s="67" t="inlineStr">
        <is>
          <t>NIDAL</t>
        </is>
      </c>
      <c r="F12" s="67" t="inlineStr">
        <is>
          <t>3527 - FABIANO ZAFFALON E CIA LTDA</t>
        </is>
      </c>
      <c r="G12" s="68" t="n">
        <v>1</v>
      </c>
      <c r="H12" s="69" t="n">
        <v>36</v>
      </c>
      <c r="I12" s="28" t="n">
        <v>120</v>
      </c>
      <c r="J12" s="21">
        <f>H12+I12</f>
        <v/>
      </c>
      <c r="K12" s="69" t="n">
        <v>60</v>
      </c>
      <c r="L12" s="28" t="n">
        <v>240</v>
      </c>
      <c r="M12" s="21">
        <f>K12+L12</f>
        <v/>
      </c>
      <c r="N12" s="21" t="n">
        <v>206</v>
      </c>
      <c r="O12" s="71" t="inlineStr">
        <is>
          <t>8 - REGULAR / NORMAL</t>
        </is>
      </c>
    </row>
    <row r="13" ht="20" customHeight="1">
      <c r="A13" s="66" t="inlineStr">
        <is>
          <t>Loja 8</t>
        </is>
      </c>
      <c r="B13" s="66" t="n">
        <v>2799</v>
      </c>
      <c r="C13" s="67" t="inlineStr">
        <is>
          <t>FAROFA MANDIOCA YOKI 400G TRADICIONAL</t>
        </is>
      </c>
      <c r="D13" s="47" t="inlineStr">
        <is>
          <t>M - Centralizado via CD</t>
        </is>
      </c>
      <c r="E13" s="67" t="inlineStr">
        <is>
          <t>NIDAL</t>
        </is>
      </c>
      <c r="F13" s="67" t="inlineStr">
        <is>
          <t>3527 - FABIANO ZAFFALON E CIA LTDA</t>
        </is>
      </c>
      <c r="G13" s="68" t="n">
        <v>1</v>
      </c>
      <c r="H13" s="69" t="n">
        <v>36</v>
      </c>
      <c r="I13" s="28" t="n">
        <v>120</v>
      </c>
      <c r="J13" s="21">
        <f>H13+I13</f>
        <v/>
      </c>
      <c r="K13" s="69" t="n">
        <v>60</v>
      </c>
      <c r="L13" s="28" t="n">
        <v>240</v>
      </c>
      <c r="M13" s="21">
        <f>K13+L13</f>
        <v/>
      </c>
      <c r="N13" s="21" t="n">
        <v>475</v>
      </c>
      <c r="O13" s="72" t="inlineStr">
        <is>
          <t>9 - EXCESSO DE ESTOQUE (&gt; MAXIMO)</t>
        </is>
      </c>
    </row>
    <row r="14" ht="20" customHeight="1">
      <c r="A14" s="66" t="inlineStr">
        <is>
          <t>Loja 14</t>
        </is>
      </c>
      <c r="B14" s="66" t="n">
        <v>2799</v>
      </c>
      <c r="C14" s="67" t="inlineStr">
        <is>
          <t>FAROFA MANDIOCA YOKI 400G TRADICIONAL</t>
        </is>
      </c>
      <c r="D14" s="47" t="inlineStr">
        <is>
          <t>M - Centralizado via CD</t>
        </is>
      </c>
      <c r="E14" s="67" t="inlineStr">
        <is>
          <t>NIDAL</t>
        </is>
      </c>
      <c r="F14" s="67" t="inlineStr">
        <is>
          <t>3527 - FABIANO ZAFFALON E CIA LTDA</t>
        </is>
      </c>
      <c r="G14" s="68" t="n">
        <v>1</v>
      </c>
      <c r="H14" s="69" t="n">
        <v>36</v>
      </c>
      <c r="I14" s="28" t="n">
        <v>120</v>
      </c>
      <c r="J14" s="21">
        <f>H14+I14</f>
        <v/>
      </c>
      <c r="K14" s="69" t="n">
        <v>60</v>
      </c>
      <c r="L14" s="28" t="n">
        <v>240</v>
      </c>
      <c r="M14" s="21">
        <f>K14+L14</f>
        <v/>
      </c>
      <c r="N14" s="21" t="n">
        <v>370</v>
      </c>
      <c r="O14" s="72" t="inlineStr">
        <is>
          <t>9 - EXCESSO DE ESTOQUE (&gt; MAXIMO)</t>
        </is>
      </c>
    </row>
    <row r="15" ht="20" customHeight="1">
      <c r="A15" s="66" t="inlineStr">
        <is>
          <t>Loja 17</t>
        </is>
      </c>
      <c r="B15" s="66" t="n">
        <v>2799</v>
      </c>
      <c r="C15" s="67" t="inlineStr">
        <is>
          <t>FAROFA MANDIOCA YOKI 400G TRADICIONAL</t>
        </is>
      </c>
      <c r="D15" s="47" t="inlineStr">
        <is>
          <t>M - Centralizado via CD</t>
        </is>
      </c>
      <c r="E15" s="67" t="inlineStr">
        <is>
          <t>NIDAL</t>
        </is>
      </c>
      <c r="F15" s="67" t="inlineStr">
        <is>
          <t>3527 - FABIANO ZAFFALON E CIA LTDA</t>
        </is>
      </c>
      <c r="G15" s="68" t="n">
        <v>1</v>
      </c>
      <c r="H15" s="69" t="n">
        <v>72</v>
      </c>
      <c r="I15" s="28" t="n">
        <v>120</v>
      </c>
      <c r="J15" s="21">
        <f>H15+I15</f>
        <v/>
      </c>
      <c r="K15" s="69" t="n">
        <v>120</v>
      </c>
      <c r="L15" s="28" t="n">
        <v>240</v>
      </c>
      <c r="M15" s="21">
        <f>K15+L15</f>
        <v/>
      </c>
      <c r="N15" s="21" t="n">
        <v>374</v>
      </c>
      <c r="O15" s="72" t="inlineStr">
        <is>
          <t>9 - EXCESSO DE ESTOQUE (&gt; MAXIMO)</t>
        </is>
      </c>
    </row>
    <row r="16" ht="20" customHeight="1">
      <c r="A16" s="66" t="inlineStr">
        <is>
          <t>Loja 18</t>
        </is>
      </c>
      <c r="B16" s="66" t="n">
        <v>2799</v>
      </c>
      <c r="C16" s="67" t="inlineStr">
        <is>
          <t>FAROFA MANDIOCA YOKI 400G TRADICIONAL</t>
        </is>
      </c>
      <c r="D16" s="47" t="inlineStr">
        <is>
          <t>M - Centralizado via CD</t>
        </is>
      </c>
      <c r="E16" s="67" t="inlineStr">
        <is>
          <t>NIDAL</t>
        </is>
      </c>
      <c r="F16" s="67" t="inlineStr">
        <is>
          <t>3527 - FABIANO ZAFFALON E CIA LTDA</t>
        </is>
      </c>
      <c r="G16" s="68" t="n">
        <v>1</v>
      </c>
      <c r="H16" s="69" t="n">
        <v>72</v>
      </c>
      <c r="I16" s="28" t="n">
        <v>240</v>
      </c>
      <c r="J16" s="21">
        <f>H16+I16</f>
        <v/>
      </c>
      <c r="K16" s="69" t="n">
        <v>120</v>
      </c>
      <c r="L16" s="28" t="n">
        <v>360</v>
      </c>
      <c r="M16" s="21">
        <f>K16+L16</f>
        <v/>
      </c>
      <c r="N16" s="21" t="n">
        <v>504</v>
      </c>
      <c r="O16" s="72" t="inlineStr">
        <is>
          <t>9 - EXCESSO DE ESTOQUE (&gt; MAXIMO)</t>
        </is>
      </c>
    </row>
  </sheetData>
  <mergeCells count="1">
    <mergeCell ref="A1:O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6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8" customWidth="1" min="16" max="16"/>
  </cols>
  <sheetData>
    <row r="1" ht="28" customHeight="1">
      <c r="A1" s="73" t="inlineStr">
        <is>
          <t>DIAGNÓSTICO CONSOLIDADO DE ESTOQUE, ABASTECIMENTO (CD vs LOJA) E PONTOS EXTRAS POR FILIAL</t>
        </is>
      </c>
    </row>
    <row r="2" ht="24" customHeight="1">
      <c r="A2" s="65" t="inlineStr">
        <is>
          <t>Loja</t>
        </is>
      </c>
      <c r="B2" s="65" t="inlineStr">
        <is>
          <t>Total SKUs</t>
        </is>
      </c>
      <c r="C2" s="65" t="inlineStr">
        <is>
          <t>Via CD (M)</t>
        </is>
      </c>
      <c r="D2" s="65" t="inlineStr">
        <is>
          <t>Direto Loja (L)</t>
        </is>
      </c>
      <c r="E2" s="65" t="inlineStr">
        <is>
          <t>PEs Ativos</t>
        </is>
      </c>
      <c r="F2" s="65" t="inlineStr">
        <is>
          <t>Status 4 (CD Saldo)</t>
        </is>
      </c>
      <c r="G2" s="65" t="inlineStr">
        <is>
          <t>Status 5 (Comprar)</t>
        </is>
      </c>
      <c r="H2" s="65" t="inlineStr">
        <is>
          <t>Status 6 (A Caminho)</t>
        </is>
      </c>
      <c r="I2" s="65" t="inlineStr">
        <is>
          <t>Status 8 (Regular)</t>
        </is>
      </c>
      <c r="J2" s="65" t="inlineStr">
        <is>
          <t>Status 9 (Excesso)</t>
        </is>
      </c>
      <c r="K2" s="65" t="inlineStr">
        <is>
          <t>% Ruptura/Risco</t>
        </is>
      </c>
      <c r="L2" s="65" t="inlineStr">
        <is>
          <t>Mín. Padrão</t>
        </is>
      </c>
      <c r="M2" s="65" t="inlineStr">
        <is>
          <t>Mín. P.Extra</t>
        </is>
      </c>
      <c r="N2" s="65" t="inlineStr">
        <is>
          <t>Mín. Total</t>
        </is>
      </c>
      <c r="O2" s="65" t="inlineStr">
        <is>
          <t>Estoque Loja (Un)</t>
        </is>
      </c>
      <c r="P2" s="65" t="inlineStr">
        <is>
          <t>Venda 30D (R$)</t>
        </is>
      </c>
    </row>
    <row r="3" ht="20" customHeight="1">
      <c r="A3" s="74" t="inlineStr">
        <is>
          <t>Loja 1</t>
        </is>
      </c>
      <c r="B3" s="54" t="n">
        <v>8</v>
      </c>
      <c r="C3" s="75" t="n">
        <v>8</v>
      </c>
      <c r="D3" s="54" t="n">
        <v>0</v>
      </c>
      <c r="E3" s="54" t="n">
        <v>0</v>
      </c>
      <c r="F3" s="54" t="n">
        <v>0</v>
      </c>
      <c r="G3" s="54" t="n">
        <v>0</v>
      </c>
      <c r="H3" s="54" t="n">
        <v>0</v>
      </c>
      <c r="I3" s="76" t="n">
        <v>2</v>
      </c>
      <c r="J3" s="77" t="n">
        <v>6</v>
      </c>
      <c r="K3" s="78" t="n">
        <v>0</v>
      </c>
      <c r="L3" s="54" t="n">
        <v>164</v>
      </c>
      <c r="M3" s="54" t="n">
        <v>0</v>
      </c>
      <c r="N3" s="79" t="n">
        <v>164</v>
      </c>
      <c r="O3" s="54" t="n">
        <v>579</v>
      </c>
      <c r="P3" s="56" t="n">
        <v>4798.42</v>
      </c>
    </row>
    <row r="4" ht="20" customHeight="1">
      <c r="A4" s="80" t="inlineStr">
        <is>
          <t>Loja 2</t>
        </is>
      </c>
      <c r="B4" s="48" t="n">
        <v>11</v>
      </c>
      <c r="C4" s="75" t="n">
        <v>11</v>
      </c>
      <c r="D4" s="48" t="n">
        <v>0</v>
      </c>
      <c r="E4" s="28" t="n">
        <v>1</v>
      </c>
      <c r="F4" s="48" t="n">
        <v>0</v>
      </c>
      <c r="G4" s="48" t="n">
        <v>0</v>
      </c>
      <c r="H4" s="81" t="n">
        <v>2</v>
      </c>
      <c r="I4" s="76" t="n">
        <v>4</v>
      </c>
      <c r="J4" s="77" t="n">
        <v>5</v>
      </c>
      <c r="K4" s="82" t="n">
        <v>0.1818181818181818</v>
      </c>
      <c r="L4" s="48" t="n">
        <v>454</v>
      </c>
      <c r="M4" s="28" t="n">
        <v>240</v>
      </c>
      <c r="N4" s="83" t="n">
        <v>694</v>
      </c>
      <c r="O4" s="48" t="n">
        <v>996</v>
      </c>
      <c r="P4" s="50" t="n">
        <v>15221.72</v>
      </c>
    </row>
    <row r="5" ht="20" customHeight="1">
      <c r="A5" s="74" t="inlineStr">
        <is>
          <t>Loja 3</t>
        </is>
      </c>
      <c r="B5" s="54" t="n">
        <v>11</v>
      </c>
      <c r="C5" s="75" t="n">
        <v>11</v>
      </c>
      <c r="D5" s="54" t="n">
        <v>0</v>
      </c>
      <c r="E5" s="28" t="n">
        <v>2</v>
      </c>
      <c r="F5" s="54" t="n">
        <v>0</v>
      </c>
      <c r="G5" s="84" t="n">
        <v>1</v>
      </c>
      <c r="H5" s="54" t="n">
        <v>0</v>
      </c>
      <c r="I5" s="76" t="n">
        <v>6</v>
      </c>
      <c r="J5" s="77" t="n">
        <v>4</v>
      </c>
      <c r="K5" s="78" t="n">
        <v>0.09090909090909091</v>
      </c>
      <c r="L5" s="54" t="n">
        <v>874</v>
      </c>
      <c r="M5" s="28" t="n">
        <v>840</v>
      </c>
      <c r="N5" s="79" t="n">
        <v>1714</v>
      </c>
      <c r="O5" s="54" t="n">
        <v>2435</v>
      </c>
      <c r="P5" s="56" t="n">
        <v>39657.68</v>
      </c>
    </row>
    <row r="6" ht="20" customHeight="1">
      <c r="A6" s="80" t="inlineStr">
        <is>
          <t>Loja 4</t>
        </is>
      </c>
      <c r="B6" s="48" t="n">
        <v>11</v>
      </c>
      <c r="C6" s="75" t="n">
        <v>11</v>
      </c>
      <c r="D6" s="48" t="n">
        <v>0</v>
      </c>
      <c r="E6" s="28" t="n">
        <v>1</v>
      </c>
      <c r="F6" s="48" t="n">
        <v>0</v>
      </c>
      <c r="G6" s="84" t="n">
        <v>1</v>
      </c>
      <c r="H6" s="48" t="n">
        <v>0</v>
      </c>
      <c r="I6" s="76" t="n">
        <v>6</v>
      </c>
      <c r="J6" s="77" t="n">
        <v>4</v>
      </c>
      <c r="K6" s="82" t="n">
        <v>0.09090909090909091</v>
      </c>
      <c r="L6" s="48" t="n">
        <v>370</v>
      </c>
      <c r="M6" s="28" t="n">
        <v>120</v>
      </c>
      <c r="N6" s="83" t="n">
        <v>490</v>
      </c>
      <c r="O6" s="48" t="n">
        <v>815</v>
      </c>
      <c r="P6" s="50" t="n">
        <v>18436.07</v>
      </c>
    </row>
    <row r="7" ht="20" customHeight="1">
      <c r="A7" s="74" t="inlineStr">
        <is>
          <t>Loja 5</t>
        </is>
      </c>
      <c r="B7" s="54" t="n">
        <v>11</v>
      </c>
      <c r="C7" s="75" t="n">
        <v>11</v>
      </c>
      <c r="D7" s="54" t="n">
        <v>0</v>
      </c>
      <c r="E7" s="28" t="n">
        <v>1</v>
      </c>
      <c r="F7" s="54" t="n">
        <v>0</v>
      </c>
      <c r="G7" s="84" t="n">
        <v>1</v>
      </c>
      <c r="H7" s="54" t="n">
        <v>0</v>
      </c>
      <c r="I7" s="76" t="n">
        <v>2</v>
      </c>
      <c r="J7" s="77" t="n">
        <v>8</v>
      </c>
      <c r="K7" s="78" t="n">
        <v>0.09090909090909091</v>
      </c>
      <c r="L7" s="54" t="n">
        <v>316</v>
      </c>
      <c r="M7" s="28" t="n">
        <v>120</v>
      </c>
      <c r="N7" s="79" t="n">
        <v>436</v>
      </c>
      <c r="O7" s="54" t="n">
        <v>851</v>
      </c>
      <c r="P7" s="56" t="n">
        <v>9956.000000000002</v>
      </c>
    </row>
    <row r="8" ht="20" customHeight="1">
      <c r="A8" s="80" t="inlineStr">
        <is>
          <t>Loja 6</t>
        </is>
      </c>
      <c r="B8" s="48" t="n">
        <v>11</v>
      </c>
      <c r="C8" s="75" t="n">
        <v>11</v>
      </c>
      <c r="D8" s="48" t="n">
        <v>0</v>
      </c>
      <c r="E8" s="28" t="n">
        <v>1</v>
      </c>
      <c r="F8" s="48" t="n">
        <v>0</v>
      </c>
      <c r="G8" s="84" t="n">
        <v>1</v>
      </c>
      <c r="H8" s="81" t="n">
        <v>1</v>
      </c>
      <c r="I8" s="76" t="n">
        <v>3</v>
      </c>
      <c r="J8" s="77" t="n">
        <v>6</v>
      </c>
      <c r="K8" s="82" t="n">
        <v>0.1818181818181818</v>
      </c>
      <c r="L8" s="48" t="n">
        <v>474</v>
      </c>
      <c r="M8" s="28" t="n">
        <v>240</v>
      </c>
      <c r="N8" s="83" t="n">
        <v>714</v>
      </c>
      <c r="O8" s="48" t="n">
        <v>1168</v>
      </c>
      <c r="P8" s="50" t="n">
        <v>17182.06</v>
      </c>
    </row>
    <row r="9" ht="20" customHeight="1">
      <c r="A9" s="74" t="inlineStr">
        <is>
          <t>Loja 7</t>
        </is>
      </c>
      <c r="B9" s="54" t="n">
        <v>11</v>
      </c>
      <c r="C9" s="75" t="n">
        <v>11</v>
      </c>
      <c r="D9" s="54" t="n">
        <v>0</v>
      </c>
      <c r="E9" s="28" t="n">
        <v>1</v>
      </c>
      <c r="F9" s="54" t="n">
        <v>0</v>
      </c>
      <c r="G9" s="84" t="n">
        <v>1</v>
      </c>
      <c r="H9" s="81" t="n">
        <v>1</v>
      </c>
      <c r="I9" s="76" t="n">
        <v>5</v>
      </c>
      <c r="J9" s="77" t="n">
        <v>4</v>
      </c>
      <c r="K9" s="78" t="n">
        <v>0.1818181818181818</v>
      </c>
      <c r="L9" s="54" t="n">
        <v>418</v>
      </c>
      <c r="M9" s="28" t="n">
        <v>120</v>
      </c>
      <c r="N9" s="79" t="n">
        <v>538</v>
      </c>
      <c r="O9" s="54" t="n">
        <v>917</v>
      </c>
      <c r="P9" s="56" t="n">
        <v>9577.529999999999</v>
      </c>
    </row>
    <row r="10" ht="20" customHeight="1">
      <c r="A10" s="80" t="inlineStr">
        <is>
          <t>Loja 8</t>
        </is>
      </c>
      <c r="B10" s="48" t="n">
        <v>11</v>
      </c>
      <c r="C10" s="75" t="n">
        <v>11</v>
      </c>
      <c r="D10" s="48" t="n">
        <v>0</v>
      </c>
      <c r="E10" s="28" t="n">
        <v>1</v>
      </c>
      <c r="F10" s="48" t="n">
        <v>0</v>
      </c>
      <c r="G10" s="84" t="n">
        <v>1</v>
      </c>
      <c r="H10" s="48" t="n">
        <v>0</v>
      </c>
      <c r="I10" s="76" t="n">
        <v>1</v>
      </c>
      <c r="J10" s="77" t="n">
        <v>9</v>
      </c>
      <c r="K10" s="82" t="n">
        <v>0.09090909090909091</v>
      </c>
      <c r="L10" s="48" t="n">
        <v>340</v>
      </c>
      <c r="M10" s="28" t="n">
        <v>120</v>
      </c>
      <c r="N10" s="83" t="n">
        <v>460</v>
      </c>
      <c r="O10" s="48" t="n">
        <v>1231</v>
      </c>
      <c r="P10" s="50" t="n">
        <v>6735.570000000001</v>
      </c>
    </row>
    <row r="11" ht="20" customHeight="1">
      <c r="A11" s="74" t="inlineStr">
        <is>
          <t>Loja 11</t>
        </is>
      </c>
      <c r="B11" s="54" t="n">
        <v>11</v>
      </c>
      <c r="C11" s="75" t="n">
        <v>11</v>
      </c>
      <c r="D11" s="54" t="n">
        <v>0</v>
      </c>
      <c r="E11" s="28" t="n">
        <v>1</v>
      </c>
      <c r="F11" s="54" t="n">
        <v>0</v>
      </c>
      <c r="G11" s="84" t="n">
        <v>1</v>
      </c>
      <c r="H11" s="81" t="n">
        <v>1</v>
      </c>
      <c r="I11" s="76" t="n">
        <v>4</v>
      </c>
      <c r="J11" s="77" t="n">
        <v>5</v>
      </c>
      <c r="K11" s="78" t="n">
        <v>0.1818181818181818</v>
      </c>
      <c r="L11" s="54" t="n">
        <v>638</v>
      </c>
      <c r="M11" s="28" t="n">
        <v>240</v>
      </c>
      <c r="N11" s="79" t="n">
        <v>878</v>
      </c>
      <c r="O11" s="54" t="n">
        <v>1306</v>
      </c>
      <c r="P11" s="56" t="n">
        <v>17246.39</v>
      </c>
    </row>
    <row r="12" ht="20" customHeight="1">
      <c r="A12" s="80" t="inlineStr">
        <is>
          <t>Loja 12</t>
        </is>
      </c>
      <c r="B12" s="48" t="n">
        <v>11</v>
      </c>
      <c r="C12" s="75" t="n">
        <v>11</v>
      </c>
      <c r="D12" s="48" t="n">
        <v>0</v>
      </c>
      <c r="E12" s="28" t="n">
        <v>1</v>
      </c>
      <c r="F12" s="48" t="n">
        <v>0</v>
      </c>
      <c r="G12" s="84" t="n">
        <v>1</v>
      </c>
      <c r="H12" s="81" t="n">
        <v>2</v>
      </c>
      <c r="I12" s="76" t="n">
        <v>3</v>
      </c>
      <c r="J12" s="77" t="n">
        <v>5</v>
      </c>
      <c r="K12" s="82" t="n">
        <v>0.2727272727272727</v>
      </c>
      <c r="L12" s="48" t="n">
        <v>504</v>
      </c>
      <c r="M12" s="28" t="n">
        <v>240</v>
      </c>
      <c r="N12" s="83" t="n">
        <v>744</v>
      </c>
      <c r="O12" s="48" t="n">
        <v>1251</v>
      </c>
      <c r="P12" s="50" t="n">
        <v>18059.06</v>
      </c>
    </row>
    <row r="13" ht="20" customHeight="1">
      <c r="A13" s="74" t="inlineStr">
        <is>
          <t>Loja 13</t>
        </is>
      </c>
      <c r="B13" s="54" t="n">
        <v>11</v>
      </c>
      <c r="C13" s="75" t="n">
        <v>11</v>
      </c>
      <c r="D13" s="54" t="n">
        <v>0</v>
      </c>
      <c r="E13" s="28" t="n">
        <v>1</v>
      </c>
      <c r="F13" s="85" t="n">
        <v>1</v>
      </c>
      <c r="G13" s="84" t="n">
        <v>1</v>
      </c>
      <c r="H13" s="81" t="n">
        <v>1</v>
      </c>
      <c r="I13" s="76" t="n">
        <v>4</v>
      </c>
      <c r="J13" s="77" t="n">
        <v>4</v>
      </c>
      <c r="K13" s="78" t="n">
        <v>0.2727272727272727</v>
      </c>
      <c r="L13" s="54" t="n">
        <v>280</v>
      </c>
      <c r="M13" s="28" t="n">
        <v>120</v>
      </c>
      <c r="N13" s="79" t="n">
        <v>400</v>
      </c>
      <c r="O13" s="54" t="n">
        <v>696</v>
      </c>
      <c r="P13" s="56" t="n">
        <v>10686.03</v>
      </c>
    </row>
    <row r="14" ht="20" customHeight="1">
      <c r="A14" s="80" t="inlineStr">
        <is>
          <t>Loja 14</t>
        </is>
      </c>
      <c r="B14" s="48" t="n">
        <v>11</v>
      </c>
      <c r="C14" s="75" t="n">
        <v>11</v>
      </c>
      <c r="D14" s="48" t="n">
        <v>0</v>
      </c>
      <c r="E14" s="28" t="n">
        <v>1</v>
      </c>
      <c r="F14" s="48" t="n">
        <v>0</v>
      </c>
      <c r="G14" s="48" t="n">
        <v>0</v>
      </c>
      <c r="H14" s="48" t="n">
        <v>0</v>
      </c>
      <c r="I14" s="76" t="n">
        <v>1</v>
      </c>
      <c r="J14" s="77" t="n">
        <v>10</v>
      </c>
      <c r="K14" s="82" t="n">
        <v>0</v>
      </c>
      <c r="L14" s="48" t="n">
        <v>310</v>
      </c>
      <c r="M14" s="28" t="n">
        <v>120</v>
      </c>
      <c r="N14" s="83" t="n">
        <v>430</v>
      </c>
      <c r="O14" s="48" t="n">
        <v>1026</v>
      </c>
      <c r="P14" s="50" t="n">
        <v>12934.17</v>
      </c>
    </row>
    <row r="15" ht="20" customHeight="1">
      <c r="A15" s="74" t="inlineStr">
        <is>
          <t>Loja 17</t>
        </is>
      </c>
      <c r="B15" s="54" t="n">
        <v>11</v>
      </c>
      <c r="C15" s="75" t="n">
        <v>11</v>
      </c>
      <c r="D15" s="54" t="n">
        <v>0</v>
      </c>
      <c r="E15" s="28" t="n">
        <v>1</v>
      </c>
      <c r="F15" s="54" t="n">
        <v>0</v>
      </c>
      <c r="G15" s="54" t="n">
        <v>0</v>
      </c>
      <c r="H15" s="81" t="n">
        <v>1</v>
      </c>
      <c r="I15" s="76" t="n">
        <v>7</v>
      </c>
      <c r="J15" s="77" t="n">
        <v>3</v>
      </c>
      <c r="K15" s="78" t="n">
        <v>0.09090909090909091</v>
      </c>
      <c r="L15" s="54" t="n">
        <v>600</v>
      </c>
      <c r="M15" s="28" t="n">
        <v>120</v>
      </c>
      <c r="N15" s="79" t="n">
        <v>720</v>
      </c>
      <c r="O15" s="54" t="n">
        <v>1109</v>
      </c>
      <c r="P15" s="56" t="n">
        <v>17731.09</v>
      </c>
    </row>
    <row r="16" ht="20" customHeight="1">
      <c r="A16" s="80" t="inlineStr">
        <is>
          <t>Loja 18</t>
        </is>
      </c>
      <c r="B16" s="48" t="n">
        <v>11</v>
      </c>
      <c r="C16" s="75" t="n">
        <v>11</v>
      </c>
      <c r="D16" s="48" t="n">
        <v>0</v>
      </c>
      <c r="E16" s="28" t="n">
        <v>1</v>
      </c>
      <c r="F16" s="48" t="n">
        <v>0</v>
      </c>
      <c r="G16" s="48" t="n">
        <v>0</v>
      </c>
      <c r="H16" s="81" t="n">
        <v>3</v>
      </c>
      <c r="I16" s="76" t="n">
        <v>3</v>
      </c>
      <c r="J16" s="77" t="n">
        <v>5</v>
      </c>
      <c r="K16" s="82" t="n">
        <v>0.2727272727272727</v>
      </c>
      <c r="L16" s="48" t="n">
        <v>550</v>
      </c>
      <c r="M16" s="28" t="n">
        <v>240</v>
      </c>
      <c r="N16" s="83" t="n">
        <v>790</v>
      </c>
      <c r="O16" s="48" t="n">
        <v>1273</v>
      </c>
      <c r="P16" s="50" t="n">
        <v>9189.280000000001</v>
      </c>
    </row>
  </sheetData>
  <mergeCells count="1">
    <mergeCell ref="A1:P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4" customWidth="1" min="2" max="2"/>
    <col width="38" customWidth="1" min="3" max="3"/>
    <col width="27" customWidth="1" min="4" max="4"/>
    <col width="12" customWidth="1" min="5" max="5"/>
    <col width="45" customWidth="1" min="6" max="6"/>
    <col width="19" customWidth="1" min="7" max="7"/>
    <col width="18" customWidth="1" min="8" max="8"/>
    <col width="23" customWidth="1" min="9" max="9"/>
    <col width="17" customWidth="1" min="10" max="10"/>
    <col width="18" customWidth="1" min="11" max="11"/>
    <col width="23" customWidth="1" min="12" max="12"/>
    <col width="17" customWidth="1" min="13" max="13"/>
    <col width="21" customWidth="1" min="14" max="14"/>
    <col width="14" customWidth="1" min="15" max="15"/>
    <col width="16" customWidth="1" min="16" max="16"/>
    <col width="20" customWidth="1" min="17" max="17"/>
    <col width="45" customWidth="1" min="18" max="18"/>
  </cols>
  <sheetData>
    <row r="1" ht="26" customHeight="1">
      <c r="A1" s="19" t="inlineStr">
        <is>
          <t>COD_LOJA</t>
        </is>
      </c>
      <c r="B1" s="19" t="inlineStr">
        <is>
          <t>COD_PRODUTO</t>
        </is>
      </c>
      <c r="C1" s="19" t="inlineStr">
        <is>
          <t>DESCRICAO_PRODUTO</t>
        </is>
      </c>
      <c r="D1" s="38" t="inlineStr">
        <is>
          <t>FORMA_ABASTECIMENTO_DESC</t>
        </is>
      </c>
      <c r="E1" s="19" t="inlineStr">
        <is>
          <t>COMPRADOR</t>
        </is>
      </c>
      <c r="F1" s="19" t="inlineStr">
        <is>
          <t>FORNECEDOR_PRINCIPAL</t>
        </is>
      </c>
      <c r="G1" s="19" t="inlineStr">
        <is>
          <t>ESTQ_FISICO_LOJA</t>
        </is>
      </c>
      <c r="H1" s="19" t="inlineStr">
        <is>
          <t>ESTQ_MIN_PADRAO</t>
        </is>
      </c>
      <c r="I1" s="86" t="inlineStr">
        <is>
          <t>ESTQ_MIN_PONTO_EXTRA</t>
        </is>
      </c>
      <c r="J1" s="86" t="inlineStr">
        <is>
          <t>ESTQ_MIN_TOTAL</t>
        </is>
      </c>
      <c r="K1" s="19" t="inlineStr">
        <is>
          <t>ESTQ_MAX_PADRAO</t>
        </is>
      </c>
      <c r="L1" s="86" t="inlineStr">
        <is>
          <t>ESTQ_MAX_PONTO_EXTRA</t>
        </is>
      </c>
      <c r="M1" s="86" t="inlineStr">
        <is>
          <t>ESTQ_MAX_TOTAL</t>
        </is>
      </c>
      <c r="N1" s="86" t="inlineStr">
        <is>
          <t>ESTQ_DISP_TOTAL_CD</t>
        </is>
      </c>
      <c r="O1" s="19" t="inlineStr">
        <is>
          <t>VDA_30D_QTD</t>
        </is>
      </c>
      <c r="P1" s="19" t="inlineStr">
        <is>
          <t>MEDIA_VDA_DIA</t>
        </is>
      </c>
      <c r="Q1" s="19" t="inlineStr">
        <is>
          <t>DIAS_ESTOQUE_LOJA</t>
        </is>
      </c>
      <c r="R1" s="19" t="inlineStr">
        <is>
          <t>STATUS_RUPTURA</t>
        </is>
      </c>
    </row>
    <row r="2" ht="20" customHeight="1">
      <c r="A2" s="45" t="n">
        <v>13</v>
      </c>
      <c r="B2" s="45" t="n">
        <v>2020</v>
      </c>
      <c r="C2" s="46" t="inlineStr">
        <is>
          <t>CAFE VACUO MELITTA 500G EXTRA FORTE</t>
        </is>
      </c>
      <c r="D2" s="39" t="inlineStr">
        <is>
          <t>M - Centralizado via CD</t>
        </is>
      </c>
      <c r="E2" s="46" t="inlineStr">
        <is>
          <t>WERTER</t>
        </is>
      </c>
      <c r="F2" s="46" t="inlineStr">
        <is>
          <t>10368 - MELITTA DO BRASIL E COMERCIO LTDA.</t>
        </is>
      </c>
      <c r="G2" s="48" t="n">
        <v>5</v>
      </c>
      <c r="H2" s="48" t="n">
        <v>12</v>
      </c>
      <c r="I2" s="48" t="n">
        <v>0</v>
      </c>
      <c r="J2" s="49" t="n">
        <v>12</v>
      </c>
      <c r="K2" s="48" t="n">
        <v>32</v>
      </c>
      <c r="L2" s="48" t="n">
        <v>0</v>
      </c>
      <c r="M2" s="49" t="n">
        <v>32</v>
      </c>
      <c r="N2" s="49" t="n">
        <v>401</v>
      </c>
      <c r="O2" s="48" t="n">
        <v>50</v>
      </c>
      <c r="P2" s="51" t="n">
        <v>1.67</v>
      </c>
      <c r="Q2" s="51" t="n">
        <v>3</v>
      </c>
      <c r="R2" s="87" t="inlineStr">
        <is>
          <t>4 - ABAIXO DO MINIMO (TEM SALDO NO CD / SEM PEDIDO)</t>
        </is>
      </c>
    </row>
    <row r="3" ht="20" customHeight="1">
      <c r="A3" s="45" t="n">
        <v>3</v>
      </c>
      <c r="B3" s="45" t="n">
        <v>853</v>
      </c>
      <c r="C3" s="46" t="inlineStr">
        <is>
          <t>REFRIG FANTA PET 600ML UVA</t>
        </is>
      </c>
      <c r="D3" s="39" t="inlineStr">
        <is>
          <t>M - Centralizado via CD</t>
        </is>
      </c>
      <c r="E3" s="46" t="inlineStr">
        <is>
          <t>NICOLAS</t>
        </is>
      </c>
      <c r="F3" s="46" t="inlineStr">
        <is>
          <t>15441 - SPAL IND BRAS BEBIDAS AS</t>
        </is>
      </c>
      <c r="G3" s="48" t="n">
        <v>86</v>
      </c>
      <c r="H3" s="48" t="n">
        <v>110</v>
      </c>
      <c r="I3" s="48" t="n">
        <v>0</v>
      </c>
      <c r="J3" s="49" t="n">
        <v>110</v>
      </c>
      <c r="K3" s="48" t="n">
        <v>170</v>
      </c>
      <c r="L3" s="48" t="n">
        <v>0</v>
      </c>
      <c r="M3" s="49" t="n">
        <v>170</v>
      </c>
      <c r="N3" s="49" t="n">
        <v>0</v>
      </c>
      <c r="O3" s="48" t="n">
        <v>293</v>
      </c>
      <c r="P3" s="51" t="n">
        <v>9.77</v>
      </c>
      <c r="Q3" s="51" t="n">
        <v>8.800000000000001</v>
      </c>
      <c r="R3" s="88" t="inlineStr">
        <is>
          <t>5 - ABAIXO DO MINIMO (CD ZERADO / SEM PEDIDO COMPRA)</t>
        </is>
      </c>
    </row>
    <row r="4" ht="20" customHeight="1">
      <c r="A4" s="45" t="n">
        <v>4</v>
      </c>
      <c r="B4" s="45" t="n">
        <v>853</v>
      </c>
      <c r="C4" s="46" t="inlineStr">
        <is>
          <t>REFRIG FANTA PET 600ML UVA</t>
        </is>
      </c>
      <c r="D4" s="39" t="inlineStr">
        <is>
          <t>M - Centralizado via CD</t>
        </is>
      </c>
      <c r="E4" s="46" t="inlineStr">
        <is>
          <t>NICOLAS</t>
        </is>
      </c>
      <c r="F4" s="46" t="inlineStr">
        <is>
          <t>15441 - SPAL IND BRAS BEBIDAS AS</t>
        </is>
      </c>
      <c r="G4" s="48" t="n">
        <v>54</v>
      </c>
      <c r="H4" s="48" t="n">
        <v>58</v>
      </c>
      <c r="I4" s="48" t="n">
        <v>0</v>
      </c>
      <c r="J4" s="49" t="n">
        <v>58</v>
      </c>
      <c r="K4" s="48" t="n">
        <v>94</v>
      </c>
      <c r="L4" s="48" t="n">
        <v>0</v>
      </c>
      <c r="M4" s="49" t="n">
        <v>94</v>
      </c>
      <c r="N4" s="49" t="n">
        <v>0</v>
      </c>
      <c r="O4" s="48" t="n">
        <v>176</v>
      </c>
      <c r="P4" s="51" t="n">
        <v>5.87</v>
      </c>
      <c r="Q4" s="51" t="n">
        <v>9.199999999999999</v>
      </c>
      <c r="R4" s="88" t="inlineStr">
        <is>
          <t>5 - ABAIXO DO MINIMO (CD ZERADO / SEM PEDIDO COMPRA)</t>
        </is>
      </c>
    </row>
    <row r="5" ht="20" customHeight="1">
      <c r="A5" s="45" t="n">
        <v>5</v>
      </c>
      <c r="B5" s="45" t="n">
        <v>853</v>
      </c>
      <c r="C5" s="46" t="inlineStr">
        <is>
          <t>REFRIG FANTA PET 600ML UVA</t>
        </is>
      </c>
      <c r="D5" s="39" t="inlineStr">
        <is>
          <t>M - Centralizado via CD</t>
        </is>
      </c>
      <c r="E5" s="46" t="inlineStr">
        <is>
          <t>NICOLAS</t>
        </is>
      </c>
      <c r="F5" s="46" t="inlineStr">
        <is>
          <t>15441 - SPAL IND BRAS BEBIDAS AS</t>
        </is>
      </c>
      <c r="G5" s="48" t="n">
        <v>11</v>
      </c>
      <c r="H5" s="48" t="n">
        <v>12</v>
      </c>
      <c r="I5" s="48" t="n">
        <v>0</v>
      </c>
      <c r="J5" s="49" t="n">
        <v>12</v>
      </c>
      <c r="K5" s="48" t="n">
        <v>18</v>
      </c>
      <c r="L5" s="48" t="n">
        <v>0</v>
      </c>
      <c r="M5" s="49" t="n">
        <v>18</v>
      </c>
      <c r="N5" s="49" t="n">
        <v>0</v>
      </c>
      <c r="O5" s="48" t="n">
        <v>30</v>
      </c>
      <c r="P5" s="51" t="n">
        <v>1</v>
      </c>
      <c r="Q5" s="51" t="n">
        <v>11</v>
      </c>
      <c r="R5" s="88" t="inlineStr">
        <is>
          <t>5 - ABAIXO DO MINIMO (CD ZERADO / SEM PEDIDO COMPRA)</t>
        </is>
      </c>
    </row>
    <row r="6" ht="20" customHeight="1">
      <c r="A6" s="45" t="n">
        <v>6</v>
      </c>
      <c r="B6" s="45" t="n">
        <v>853</v>
      </c>
      <c r="C6" s="46" t="inlineStr">
        <is>
          <t>REFRIG FANTA PET 600ML UVA</t>
        </is>
      </c>
      <c r="D6" s="39" t="inlineStr">
        <is>
          <t>M - Centralizado via CD</t>
        </is>
      </c>
      <c r="E6" s="46" t="inlineStr">
        <is>
          <t>NICOLAS</t>
        </is>
      </c>
      <c r="F6" s="46" t="inlineStr">
        <is>
          <t>15441 - SPAL IND BRAS BEBIDAS AS</t>
        </is>
      </c>
      <c r="G6" s="48" t="n">
        <v>18</v>
      </c>
      <c r="H6" s="48" t="n">
        <v>30</v>
      </c>
      <c r="I6" s="48" t="n">
        <v>0</v>
      </c>
      <c r="J6" s="49" t="n">
        <v>30</v>
      </c>
      <c r="K6" s="48" t="n">
        <v>48</v>
      </c>
      <c r="L6" s="48" t="n">
        <v>0</v>
      </c>
      <c r="M6" s="49" t="n">
        <v>48</v>
      </c>
      <c r="N6" s="49" t="n">
        <v>0</v>
      </c>
      <c r="O6" s="48" t="n">
        <v>100</v>
      </c>
      <c r="P6" s="51" t="n">
        <v>3.33</v>
      </c>
      <c r="Q6" s="51" t="n">
        <v>5.4</v>
      </c>
      <c r="R6" s="88" t="inlineStr">
        <is>
          <t>5 - ABAIXO DO MINIMO (CD ZERADO / SEM PEDIDO COMPRA)</t>
        </is>
      </c>
    </row>
    <row r="7" ht="20" customHeight="1">
      <c r="A7" s="45" t="n">
        <v>7</v>
      </c>
      <c r="B7" s="45" t="n">
        <v>853</v>
      </c>
      <c r="C7" s="46" t="inlineStr">
        <is>
          <t>REFRIG FANTA PET 600ML UVA</t>
        </is>
      </c>
      <c r="D7" s="39" t="inlineStr">
        <is>
          <t>M - Centralizado via CD</t>
        </is>
      </c>
      <c r="E7" s="46" t="inlineStr">
        <is>
          <t>NICOLAS</t>
        </is>
      </c>
      <c r="F7" s="46" t="inlineStr">
        <is>
          <t>15441 - SPAL IND BRAS BEBIDAS AS</t>
        </is>
      </c>
      <c r="G7" s="48" t="n">
        <v>27</v>
      </c>
      <c r="H7" s="48" t="n">
        <v>28</v>
      </c>
      <c r="I7" s="48" t="n">
        <v>0</v>
      </c>
      <c r="J7" s="49" t="n">
        <v>28</v>
      </c>
      <c r="K7" s="48" t="n">
        <v>46</v>
      </c>
      <c r="L7" s="48" t="n">
        <v>0</v>
      </c>
      <c r="M7" s="49" t="n">
        <v>46</v>
      </c>
      <c r="N7" s="49" t="n">
        <v>0</v>
      </c>
      <c r="O7" s="48" t="n">
        <v>87</v>
      </c>
      <c r="P7" s="51" t="n">
        <v>2.9</v>
      </c>
      <c r="Q7" s="51" t="n">
        <v>9.300000000000001</v>
      </c>
      <c r="R7" s="88" t="inlineStr">
        <is>
          <t>5 - ABAIXO DO MINIMO (CD ZERADO / SEM PEDIDO COMPRA)</t>
        </is>
      </c>
    </row>
    <row r="8" ht="20" customHeight="1">
      <c r="A8" s="45" t="n">
        <v>8</v>
      </c>
      <c r="B8" s="45" t="n">
        <v>853</v>
      </c>
      <c r="C8" s="46" t="inlineStr">
        <is>
          <t>REFRIG FANTA PET 600ML UVA</t>
        </is>
      </c>
      <c r="D8" s="39" t="inlineStr">
        <is>
          <t>M - Centralizado via CD</t>
        </is>
      </c>
      <c r="E8" s="46" t="inlineStr">
        <is>
          <t>NICOLAS</t>
        </is>
      </c>
      <c r="F8" s="46" t="inlineStr">
        <is>
          <t>15441 - SPAL IND BRAS BEBIDAS AS</t>
        </is>
      </c>
      <c r="G8" s="48" t="n">
        <v>17</v>
      </c>
      <c r="H8" s="48" t="n">
        <v>18</v>
      </c>
      <c r="I8" s="48" t="n">
        <v>0</v>
      </c>
      <c r="J8" s="49" t="n">
        <v>18</v>
      </c>
      <c r="K8" s="48" t="n">
        <v>30</v>
      </c>
      <c r="L8" s="48" t="n">
        <v>0</v>
      </c>
      <c r="M8" s="49" t="n">
        <v>30</v>
      </c>
      <c r="N8" s="49" t="n">
        <v>0</v>
      </c>
      <c r="O8" s="48" t="n">
        <v>49</v>
      </c>
      <c r="P8" s="51" t="n">
        <v>1.63</v>
      </c>
      <c r="Q8" s="51" t="n">
        <v>10.4</v>
      </c>
      <c r="R8" s="88" t="inlineStr">
        <is>
          <t>5 - ABAIXO DO MINIMO (CD ZERADO / SEM PEDIDO COMPRA)</t>
        </is>
      </c>
    </row>
    <row r="9" ht="20" customHeight="1">
      <c r="A9" s="45" t="n">
        <v>11</v>
      </c>
      <c r="B9" s="45" t="n">
        <v>853</v>
      </c>
      <c r="C9" s="46" t="inlineStr">
        <is>
          <t>REFRIG FANTA PET 600ML UVA</t>
        </is>
      </c>
      <c r="D9" s="39" t="inlineStr">
        <is>
          <t>M - Centralizado via CD</t>
        </is>
      </c>
      <c r="E9" s="46" t="inlineStr">
        <is>
          <t>NICOLAS</t>
        </is>
      </c>
      <c r="F9" s="46" t="inlineStr">
        <is>
          <t>15441 - SPAL IND BRAS BEBIDAS AS</t>
        </is>
      </c>
      <c r="G9" s="48" t="n">
        <v>8</v>
      </c>
      <c r="H9" s="48" t="n">
        <v>28</v>
      </c>
      <c r="I9" s="48" t="n">
        <v>0</v>
      </c>
      <c r="J9" s="49" t="n">
        <v>28</v>
      </c>
      <c r="K9" s="48" t="n">
        <v>46</v>
      </c>
      <c r="L9" s="48" t="n">
        <v>0</v>
      </c>
      <c r="M9" s="49" t="n">
        <v>46</v>
      </c>
      <c r="N9" s="49" t="n">
        <v>0</v>
      </c>
      <c r="O9" s="48" t="n">
        <v>88</v>
      </c>
      <c r="P9" s="51" t="n">
        <v>2.93</v>
      </c>
      <c r="Q9" s="51" t="n">
        <v>2.7</v>
      </c>
      <c r="R9" s="88" t="inlineStr">
        <is>
          <t>5 - ABAIXO DO MINIMO (CD ZERADO / SEM PEDIDO COMPRA)</t>
        </is>
      </c>
    </row>
    <row r="10" ht="20" customHeight="1">
      <c r="A10" s="45" t="n">
        <v>12</v>
      </c>
      <c r="B10" s="45" t="n">
        <v>853</v>
      </c>
      <c r="C10" s="46" t="inlineStr">
        <is>
          <t>REFRIG FANTA PET 600ML UVA</t>
        </is>
      </c>
      <c r="D10" s="39" t="inlineStr">
        <is>
          <t>M - Centralizado via CD</t>
        </is>
      </c>
      <c r="E10" s="46" t="inlineStr">
        <is>
          <t>NICOLAS</t>
        </is>
      </c>
      <c r="F10" s="46" t="inlineStr">
        <is>
          <t>15441 - SPAL IND BRAS BEBIDAS AS</t>
        </is>
      </c>
      <c r="G10" s="48" t="n">
        <v>43</v>
      </c>
      <c r="H10" s="48" t="n">
        <v>64</v>
      </c>
      <c r="I10" s="48" t="n">
        <v>0</v>
      </c>
      <c r="J10" s="49" t="n">
        <v>64</v>
      </c>
      <c r="K10" s="48" t="n">
        <v>100</v>
      </c>
      <c r="L10" s="48" t="n">
        <v>0</v>
      </c>
      <c r="M10" s="49" t="n">
        <v>100</v>
      </c>
      <c r="N10" s="49" t="n">
        <v>0</v>
      </c>
      <c r="O10" s="48" t="n">
        <v>202</v>
      </c>
      <c r="P10" s="51" t="n">
        <v>6.73</v>
      </c>
      <c r="Q10" s="51" t="n">
        <v>6.4</v>
      </c>
      <c r="R10" s="88" t="inlineStr">
        <is>
          <t>5 - ABAIXO DO MINIMO (CD ZERADO / SEM PEDIDO COMPRA)</t>
        </is>
      </c>
    </row>
    <row r="11" ht="20" customHeight="1">
      <c r="A11" s="45" t="n">
        <v>13</v>
      </c>
      <c r="B11" s="45" t="n">
        <v>853</v>
      </c>
      <c r="C11" s="46" t="inlineStr">
        <is>
          <t>REFRIG FANTA PET 600ML UVA</t>
        </is>
      </c>
      <c r="D11" s="39" t="inlineStr">
        <is>
          <t>M - Centralizado via CD</t>
        </is>
      </c>
      <c r="E11" s="46" t="inlineStr">
        <is>
          <t>NICOLAS</t>
        </is>
      </c>
      <c r="F11" s="46" t="inlineStr">
        <is>
          <t>15441 - SPAL IND BRAS BEBIDAS AS</t>
        </is>
      </c>
      <c r="G11" s="48" t="n">
        <v>12</v>
      </c>
      <c r="H11" s="48" t="n">
        <v>16</v>
      </c>
      <c r="I11" s="48" t="n">
        <v>0</v>
      </c>
      <c r="J11" s="49" t="n">
        <v>16</v>
      </c>
      <c r="K11" s="48" t="n">
        <v>28</v>
      </c>
      <c r="L11" s="48" t="n">
        <v>0</v>
      </c>
      <c r="M11" s="49" t="n">
        <v>28</v>
      </c>
      <c r="N11" s="49" t="n">
        <v>0</v>
      </c>
      <c r="O11" s="48" t="n">
        <v>10</v>
      </c>
      <c r="P11" s="51" t="n">
        <v>0.33</v>
      </c>
      <c r="Q11" s="51" t="n">
        <v>36.4</v>
      </c>
      <c r="R11" s="88" t="inlineStr">
        <is>
          <t>5 - ABAIXO DO MINIMO (CD ZERADO / SEM PEDIDO COMPRA)</t>
        </is>
      </c>
    </row>
  </sheetData>
  <autoFilter ref="A1:R1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2026-09-18T11:43:05Z</dcterms:created>
  <dcterms:modified xsi:type="dcterms:W3CDTF">2026-09-18T11:43:05Z</dcterms:modified>
</cp:coreProperties>
</file>